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/>
  </bookViews>
  <sheets>
    <sheet name="Instrucciones" sheetId="1" r:id="rId1"/>
    <sheet name="Cartas" sheetId="2" r:id="rId2"/>
    <sheet name="Colores" sheetId="3" r:id="rId3"/>
    <sheet name="Eventos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4" l="1"/>
  <c r="E2" i="4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E4" i="4" l="1"/>
  <c r="E5" i="4" s="1"/>
</calcChain>
</file>

<file path=xl/sharedStrings.xml><?xml version="1.0" encoding="utf-8"?>
<sst xmlns="http://schemas.openxmlformats.org/spreadsheetml/2006/main" count="219" uniqueCount="143">
  <si>
    <t>Planilla de cartas: cómo completarla</t>
  </si>
  <si>
    <t>Hoja Cartas</t>
  </si>
  <si>
    <t>Una fila por político. Las celdas amarillas son para completar. La fila 2 es un EJEMPLO ficticio: reemplazala con tu primera carta.</t>
  </si>
  <si>
    <t>Cargo</t>
  </si>
  <si>
    <t>Elegilo de la lista desplegable (masculino o femenino, valen igual). Ver tabla de abajo.</t>
  </si>
  <si>
    <t>Afiliaciones</t>
  </si>
  <si>
    <t>Afiliación 1 es la PRINCIPAL y define el color de la carta. Afiliación 2 y 3 son opcionales. Se eligen de la lista (hoja Colores).</t>
  </si>
  <si>
    <t>Atributos</t>
  </si>
  <si>
    <t>Imagen, Experiencia, Honestidad, Carisma y Liderazgo: números enteros de 3 a 10. El Total se calcula solo.</t>
  </si>
  <si>
    <t>Foto</t>
  </si>
  <si>
    <t>Ruta de la imagen, por ejemplo fotos/pedro_perez.jpg. Si la dejás vacía, la carta muestra la inicial.</t>
  </si>
  <si>
    <t>Hoja Colores</t>
  </si>
  <si>
    <t>Un color por afiliación (hexadecimal). Si cambiás un color, cambialo también en el texto de la columna B.</t>
  </si>
  <si>
    <t>Hoja Eventos</t>
  </si>
  <si>
    <t>Cuántas tarjetas hay de cada tipo en el banco. Los números iniciales (8) son de relleno. A la derecha hay un control de validación.</t>
  </si>
  <si>
    <t>Reglas a cumplir</t>
  </si>
  <si>
    <t>Cantidad de políticos PAR (mínimo 8) y banco de eventos con al menos (políticos − 8) / 2 tarjetas.</t>
  </si>
  <si>
    <t>Cómo cargarla</t>
  </si>
  <si>
    <t>En el juego, botón JSON → elegí este archivo .xlsx. Si hay errores, el juego te los lista todos.</t>
  </si>
  <si>
    <t>Cargos (de mayor a menor rango)</t>
  </si>
  <si>
    <t>Masculino</t>
  </si>
  <si>
    <t>Femenino</t>
  </si>
  <si>
    <t>Rango (1 = mayor)</t>
  </si>
  <si>
    <t>Presidente</t>
  </si>
  <si>
    <t>Presidenta</t>
  </si>
  <si>
    <t>Vicepresidente</t>
  </si>
  <si>
    <t>Vicepresidenta</t>
  </si>
  <si>
    <t>Gobernador</t>
  </si>
  <si>
    <t>Gobernadora</t>
  </si>
  <si>
    <t>Vicegobernador</t>
  </si>
  <si>
    <t>Vicegobernadora</t>
  </si>
  <si>
    <t>Senador</t>
  </si>
  <si>
    <t>Senadora</t>
  </si>
  <si>
    <t>Diputado</t>
  </si>
  <si>
    <t>Diputada</t>
  </si>
  <si>
    <t>Ministro</t>
  </si>
  <si>
    <t>Ministra</t>
  </si>
  <si>
    <t>Legislador</t>
  </si>
  <si>
    <t>Legisladora</t>
  </si>
  <si>
    <t>Asesor</t>
  </si>
  <si>
    <t>Asesora</t>
  </si>
  <si>
    <t>Nombre</t>
  </si>
  <si>
    <t>Afiliación 1</t>
  </si>
  <si>
    <t>Afiliación 2</t>
  </si>
  <si>
    <t>Afiliación 3</t>
  </si>
  <si>
    <t>Imagen</t>
  </si>
  <si>
    <t>Experiencia</t>
  </si>
  <si>
    <t>Honestidad</t>
  </si>
  <si>
    <t>Carisma</t>
  </si>
  <si>
    <t>Liderazgo</t>
  </si>
  <si>
    <t>Total</t>
  </si>
  <si>
    <t>Izquierda</t>
  </si>
  <si>
    <t>Peronismo</t>
  </si>
  <si>
    <t>Afiliación</t>
  </si>
  <si>
    <t>Color</t>
  </si>
  <si>
    <t>Hay lugar hasta la fila 13 para agregar más afiliaciones.</t>
  </si>
  <si>
    <t>#E1C9F0</t>
  </si>
  <si>
    <t>Derecha</t>
  </si>
  <si>
    <t>#FFF9C4</t>
  </si>
  <si>
    <t>Radicalismo</t>
  </si>
  <si>
    <t>#F8CBAD</t>
  </si>
  <si>
    <t>#C5E0B4</t>
  </si>
  <si>
    <t>Kirchnerismo</t>
  </si>
  <si>
    <t>#C9DAF8</t>
  </si>
  <si>
    <t>#F4A6A6</t>
  </si>
  <si>
    <t>Tipo</t>
  </si>
  <si>
    <t>Cantidad</t>
  </si>
  <si>
    <t>Control</t>
  </si>
  <si>
    <t>Acto</t>
  </si>
  <si>
    <t>Tarjetas de eventos cargadas</t>
  </si>
  <si>
    <t>Nuevo cargo</t>
  </si>
  <si>
    <t>Políticos cargados</t>
  </si>
  <si>
    <t>Encuesta</t>
  </si>
  <si>
    <t>Eventos comunes a sortear</t>
  </si>
  <si>
    <t>Escándalo</t>
  </si>
  <si>
    <t>Estado</t>
  </si>
  <si>
    <t>Crisis</t>
  </si>
  <si>
    <t>Debate</t>
  </si>
  <si>
    <t>Se necesitan N = (políticos − 8) / 2 eventos comunes; PASO y Generales se agregan solas.</t>
  </si>
  <si>
    <t>Crisis institucional</t>
  </si>
  <si>
    <t>Gira internacional</t>
  </si>
  <si>
    <t>Javier Milei</t>
  </si>
  <si>
    <t>Libertarismo</t>
  </si>
  <si>
    <t>fotos/javier_milei.jpg</t>
  </si>
  <si>
    <t>fotos/cristina_kirchner.jpg</t>
  </si>
  <si>
    <t>Patricia Bullrich</t>
  </si>
  <si>
    <t>fotos/patricia_bullrich.jpg</t>
  </si>
  <si>
    <t>Elisa Carrió</t>
  </si>
  <si>
    <t>fotos/elisa_carrio.jpg</t>
  </si>
  <si>
    <t>Myriam Bregman</t>
  </si>
  <si>
    <t>fotos/myriam_bregman.jpg</t>
  </si>
  <si>
    <t>Miguel Ángel Pichetto</t>
  </si>
  <si>
    <t>fotos/miguel_pichetto.jpg</t>
  </si>
  <si>
    <t>Juan Grabois</t>
  </si>
  <si>
    <t>Mauricio Macri</t>
  </si>
  <si>
    <t>fotos/juan_grabois.jpg</t>
  </si>
  <si>
    <t>fotos/mauricio_macri.jpg</t>
  </si>
  <si>
    <t>Leandro Santoro</t>
  </si>
  <si>
    <t>fotos/leandro_santoro.jpg</t>
  </si>
  <si>
    <t>Sergio Massa</t>
  </si>
  <si>
    <t>fotos/sergio_massa.jpg</t>
  </si>
  <si>
    <t>Axel Kicillof</t>
  </si>
  <si>
    <t>María Eugenia Vidal</t>
  </si>
  <si>
    <t>fotos/axel_kicillof.jpg</t>
  </si>
  <si>
    <t>fotos/eugenia_vidal.jpg</t>
  </si>
  <si>
    <t>fotos/horacio_larreta.jpg</t>
  </si>
  <si>
    <t>Diego Santilli</t>
  </si>
  <si>
    <t>fotos/diego_santilli.jpg</t>
  </si>
  <si>
    <t>Karina Milei</t>
  </si>
  <si>
    <t>fotos/karina_milei.jpg</t>
  </si>
  <si>
    <t>Martín Lousteau</t>
  </si>
  <si>
    <t>Máximo Kirchner</t>
  </si>
  <si>
    <t>Alberto Fernández</t>
  </si>
  <si>
    <t>Daniel Scioli</t>
  </si>
  <si>
    <t>Gildo Insfrán</t>
  </si>
  <si>
    <t>Juan Schiaretti</t>
  </si>
  <si>
    <t>Jorge Macri</t>
  </si>
  <si>
    <t>Margarita Stolbizer</t>
  </si>
  <si>
    <t>Victoria Villarruel</t>
  </si>
  <si>
    <t>Santiago Caputo</t>
  </si>
  <si>
    <t>Luis Caputo</t>
  </si>
  <si>
    <t>Manuel Adorni</t>
  </si>
  <si>
    <t>Nicolás del Caño</t>
  </si>
  <si>
    <t>Lilia Lemoine</t>
  </si>
  <si>
    <t>fotos/martin_lousteau.jpg</t>
  </si>
  <si>
    <t>fotos/maximo_kirchner.jpg</t>
  </si>
  <si>
    <t>fotos/alberto_fernandez.jpg</t>
  </si>
  <si>
    <t>fotos/daniel_scioli.jpg</t>
  </si>
  <si>
    <t>fotos/gildo_insfran.jpg</t>
  </si>
  <si>
    <t>fotos/juan_schiaretti.jpg</t>
  </si>
  <si>
    <t>fotos/jorge_macri.jpg</t>
  </si>
  <si>
    <t>fotos/margarita_stolbizer.jpg</t>
  </si>
  <si>
    <t>fotos/victoria_villarruel.jpg</t>
  </si>
  <si>
    <t>fotos/santiago_caputo.jpg</t>
  </si>
  <si>
    <t>fotos/luis_caputo.jpg</t>
  </si>
  <si>
    <t>fotos/manuel_adorni.jpg</t>
  </si>
  <si>
    <t>fotos/nicolas_del_cano.jpg</t>
  </si>
  <si>
    <t>fotos/lilia_lemoine.jpg</t>
  </si>
  <si>
    <t>Julio Cobos</t>
  </si>
  <si>
    <t>fotos/julio_cobos.jpg</t>
  </si>
  <si>
    <t>Horacio R. Larreta</t>
  </si>
  <si>
    <t>Cristina F. de Kirchner</t>
  </si>
  <si>
    <t>J. de Gabinete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</si>
</sst>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666666"/>
      <name val="Arial"/>
      <charset val="1"/>
    </font>
    <font>
      <i/>
      <sz val="9"/>
      <color rgb="FF666666"/>
      <name val="Arial"/>
      <charset val="1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E0"/>
        <bgColor rgb="FFFFFFFF"/>
      </patternFill>
    </fill>
    <fill>
      <patternFill patternType="solid">
        <fgColor rgb="FFE1C9F0"/>
        <bgColor rgb="FFC9DAF8"/>
      </patternFill>
    </fill>
    <fill>
      <patternFill patternType="solid">
        <fgColor rgb="FFFFF9C4"/>
        <bgColor rgb="FFFFFFE0"/>
      </patternFill>
    </fill>
    <fill>
      <patternFill patternType="solid">
        <fgColor rgb="FFF8CBAD"/>
        <bgColor rgb="FFE1C9F0"/>
      </patternFill>
    </fill>
    <fill>
      <patternFill patternType="solid">
        <fgColor rgb="FFC5E0B4"/>
        <bgColor rgb="FFC9DAF8"/>
      </patternFill>
    </fill>
    <fill>
      <patternFill patternType="solid">
        <fgColor rgb="FFC9DAF8"/>
        <bgColor rgb="FFE1C9F0"/>
      </patternFill>
    </fill>
    <fill>
      <patternFill patternType="solid">
        <fgColor rgb="FFF4A6A6"/>
        <bgColor rgb="FFF8CBAD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3" fillId="0" borderId="1" xfId="0" applyFont="1" applyBorder="1"/>
    <xf numFmtId="0" fontId="5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0" xfId="0" applyFont="1"/>
    <xf numFmtId="0" fontId="6" fillId="4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6" fillId="7" borderId="1" xfId="0" applyFont="1" applyFill="1" applyBorder="1"/>
    <xf numFmtId="0" fontId="6" fillId="8" borderId="1" xfId="0" applyFont="1" applyFill="1" applyBorder="1"/>
    <xf numFmtId="0" fontId="6" fillId="9" borderId="1" xfId="0" applyFont="1" applyFill="1" applyBorder="1"/>
    <xf numFmtId="0" fontId="0" fillId="2" borderId="0" xfId="0" applyFill="1"/>
    <xf numFmtId="0" fontId="2" fillId="0" borderId="1" xfId="0" applyFont="1" applyBorder="1"/>
    <xf numFmtId="0" fontId="8" fillId="0" borderId="0" xfId="0" applyFont="1"/>
    <xf numFmtId="0" fontId="3" fillId="0" borderId="0" xfId="0" applyFont="1" applyBorder="1" applyAlignment="1">
      <alignment vertical="top" wrapText="1"/>
    </xf>
    <xf numFmtId="0" fontId="9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E0"/>
      <rgbColor rgb="FF99CCFF"/>
      <rgbColor rgb="FFF4A6A6"/>
      <rgbColor rgb="FFE1C9F0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tabSelected="1" zoomScaleNormal="100" workbookViewId="0">
      <selection activeCell="A21" sqref="A21"/>
    </sheetView>
  </sheetViews>
  <sheetFormatPr defaultColWidth="8.7109375" defaultRowHeight="15" x14ac:dyDescent="0.25"/>
  <cols>
    <col min="1" max="2" width="26" customWidth="1"/>
    <col min="3" max="3" width="70" customWidth="1"/>
  </cols>
  <sheetData>
    <row r="1" spans="1:3" ht="18" x14ac:dyDescent="0.25">
      <c r="A1" s="1" t="s">
        <v>0</v>
      </c>
    </row>
    <row r="3" spans="1:3" ht="30" customHeight="1" x14ac:dyDescent="0.25">
      <c r="A3" s="2" t="s">
        <v>1</v>
      </c>
      <c r="B3" s="20" t="s">
        <v>2</v>
      </c>
      <c r="C3" s="20"/>
    </row>
    <row r="4" spans="1:3" ht="30" customHeight="1" x14ac:dyDescent="0.25">
      <c r="A4" s="2" t="s">
        <v>3</v>
      </c>
      <c r="B4" s="20" t="s">
        <v>4</v>
      </c>
      <c r="C4" s="20"/>
    </row>
    <row r="5" spans="1:3" ht="30" customHeight="1" x14ac:dyDescent="0.25">
      <c r="A5" s="2" t="s">
        <v>5</v>
      </c>
      <c r="B5" s="20" t="s">
        <v>6</v>
      </c>
      <c r="C5" s="20"/>
    </row>
    <row r="6" spans="1:3" ht="30" customHeight="1" x14ac:dyDescent="0.25">
      <c r="A6" s="2" t="s">
        <v>7</v>
      </c>
      <c r="B6" s="20" t="s">
        <v>8</v>
      </c>
      <c r="C6" s="20"/>
    </row>
    <row r="7" spans="1:3" ht="30" customHeight="1" x14ac:dyDescent="0.25">
      <c r="A7" s="2" t="s">
        <v>9</v>
      </c>
      <c r="B7" s="20" t="s">
        <v>10</v>
      </c>
      <c r="C7" s="20"/>
    </row>
    <row r="8" spans="1:3" ht="30" customHeight="1" x14ac:dyDescent="0.25">
      <c r="A8" s="2" t="s">
        <v>11</v>
      </c>
      <c r="B8" s="20" t="s">
        <v>12</v>
      </c>
      <c r="C8" s="20"/>
    </row>
    <row r="9" spans="1:3" ht="30" customHeight="1" x14ac:dyDescent="0.25">
      <c r="A9" s="2" t="s">
        <v>13</v>
      </c>
      <c r="B9" s="20" t="s">
        <v>14</v>
      </c>
      <c r="C9" s="20"/>
    </row>
    <row r="10" spans="1:3" ht="30" customHeight="1" x14ac:dyDescent="0.25">
      <c r="A10" s="2" t="s">
        <v>15</v>
      </c>
      <c r="B10" s="20" t="s">
        <v>16</v>
      </c>
      <c r="C10" s="20"/>
    </row>
    <row r="11" spans="1:3" ht="30" customHeight="1" x14ac:dyDescent="0.25">
      <c r="A11" s="2" t="s">
        <v>17</v>
      </c>
      <c r="B11" s="20" t="s">
        <v>18</v>
      </c>
      <c r="C11" s="20"/>
    </row>
    <row r="13" spans="1:3" ht="15.75" x14ac:dyDescent="0.25">
      <c r="A13" s="3" t="s">
        <v>19</v>
      </c>
    </row>
    <row r="14" spans="1:3" x14ac:dyDescent="0.25">
      <c r="A14" s="4" t="s">
        <v>20</v>
      </c>
      <c r="B14" s="4" t="s">
        <v>21</v>
      </c>
      <c r="C14" s="4" t="s">
        <v>22</v>
      </c>
    </row>
    <row r="15" spans="1:3" x14ac:dyDescent="0.25">
      <c r="A15" s="5" t="s">
        <v>23</v>
      </c>
      <c r="B15" s="5" t="s">
        <v>24</v>
      </c>
      <c r="C15" s="5">
        <v>1</v>
      </c>
    </row>
    <row r="16" spans="1:3" x14ac:dyDescent="0.25">
      <c r="A16" s="5" t="s">
        <v>25</v>
      </c>
      <c r="B16" s="5" t="s">
        <v>26</v>
      </c>
      <c r="C16" s="5">
        <v>2</v>
      </c>
    </row>
    <row r="17" spans="1:3" x14ac:dyDescent="0.25">
      <c r="A17" s="5" t="s">
        <v>27</v>
      </c>
      <c r="B17" s="5" t="s">
        <v>28</v>
      </c>
      <c r="C17" s="5">
        <v>3</v>
      </c>
    </row>
    <row r="18" spans="1:3" x14ac:dyDescent="0.25">
      <c r="A18" s="5" t="s">
        <v>29</v>
      </c>
      <c r="B18" s="5" t="s">
        <v>30</v>
      </c>
      <c r="C18" s="5">
        <v>4</v>
      </c>
    </row>
    <row r="19" spans="1:3" x14ac:dyDescent="0.25">
      <c r="A19" s="5" t="s">
        <v>31</v>
      </c>
      <c r="B19" s="5" t="s">
        <v>32</v>
      </c>
      <c r="C19" s="5">
        <v>5</v>
      </c>
    </row>
    <row r="20" spans="1:3" x14ac:dyDescent="0.25">
      <c r="A20" s="5" t="s">
        <v>33</v>
      </c>
      <c r="B20" s="5" t="s">
        <v>34</v>
      </c>
      <c r="C20" s="5">
        <v>6</v>
      </c>
    </row>
    <row r="21" spans="1:3" x14ac:dyDescent="0.25">
      <c r="A21" s="5" t="s">
        <v>142</v>
      </c>
      <c r="B21" s="5" t="s">
        <v>142</v>
      </c>
      <c r="C21" s="5">
        <v>7</v>
      </c>
    </row>
    <row r="22" spans="1:3" x14ac:dyDescent="0.25">
      <c r="A22" s="5" t="s">
        <v>35</v>
      </c>
      <c r="B22" s="5" t="s">
        <v>36</v>
      </c>
      <c r="C22" s="5">
        <v>8</v>
      </c>
    </row>
    <row r="23" spans="1:3" x14ac:dyDescent="0.25">
      <c r="A23" s="5" t="s">
        <v>37</v>
      </c>
      <c r="B23" s="5" t="s">
        <v>38</v>
      </c>
      <c r="C23" s="5">
        <v>9</v>
      </c>
    </row>
    <row r="24" spans="1:3" x14ac:dyDescent="0.25">
      <c r="A24" s="5" t="s">
        <v>39</v>
      </c>
      <c r="B24" s="5" t="s">
        <v>40</v>
      </c>
      <c r="C24" s="5">
        <v>10</v>
      </c>
    </row>
  </sheetData>
  <mergeCells count="9">
    <mergeCell ref="B8:C8"/>
    <mergeCell ref="B9:C9"/>
    <mergeCell ref="B10:C10"/>
    <mergeCell ref="B11:C11"/>
    <mergeCell ref="B3:C3"/>
    <mergeCell ref="B4:C4"/>
    <mergeCell ref="B5:C5"/>
    <mergeCell ref="B6:C6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zoomScaleNormal="100" workbookViewId="0">
      <pane ySplit="1" topLeftCell="A2" activePane="bottomLeft" state="frozen"/>
      <selection pane="bottomLeft" activeCell="B33" sqref="B33"/>
    </sheetView>
  </sheetViews>
  <sheetFormatPr defaultColWidth="8.7109375" defaultRowHeight="15" x14ac:dyDescent="0.25"/>
  <cols>
    <col min="1" max="1" width="18" customWidth="1"/>
    <col min="2" max="2" width="26" customWidth="1"/>
    <col min="3" max="5" width="15" customWidth="1"/>
    <col min="6" max="6" width="28" customWidth="1"/>
    <col min="7" max="7" width="10" customWidth="1"/>
    <col min="8" max="9" width="12" customWidth="1"/>
    <col min="10" max="10" width="10" customWidth="1"/>
    <col min="11" max="11" width="11" customWidth="1"/>
    <col min="12" max="12" width="9" customWidth="1"/>
  </cols>
  <sheetData>
    <row r="1" spans="1:12" ht="30" customHeight="1" x14ac:dyDescent="0.25">
      <c r="A1" s="6" t="s">
        <v>3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9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</row>
    <row r="2" spans="1:12" x14ac:dyDescent="0.25">
      <c r="A2" s="7" t="s">
        <v>23</v>
      </c>
      <c r="B2" s="7" t="s">
        <v>81</v>
      </c>
      <c r="C2" s="7" t="s">
        <v>82</v>
      </c>
      <c r="D2" s="7"/>
      <c r="E2" s="7"/>
      <c r="F2" s="7" t="s">
        <v>83</v>
      </c>
      <c r="G2" s="8">
        <v>6</v>
      </c>
      <c r="H2" s="8">
        <v>8</v>
      </c>
      <c r="I2" s="8">
        <v>4</v>
      </c>
      <c r="J2" s="8">
        <v>9</v>
      </c>
      <c r="K2" s="8">
        <v>8</v>
      </c>
      <c r="L2" s="9">
        <f t="shared" ref="L2:L33" si="0">IF(B2="","",SUM(G2:K2))</f>
        <v>35</v>
      </c>
    </row>
    <row r="3" spans="1:12" x14ac:dyDescent="0.25">
      <c r="A3" s="7" t="s">
        <v>24</v>
      </c>
      <c r="B3" s="7" t="s">
        <v>141</v>
      </c>
      <c r="C3" s="7" t="s">
        <v>62</v>
      </c>
      <c r="D3" s="7"/>
      <c r="E3" s="7"/>
      <c r="F3" s="7" t="s">
        <v>84</v>
      </c>
      <c r="G3" s="8">
        <v>4</v>
      </c>
      <c r="H3" s="8">
        <v>10</v>
      </c>
      <c r="I3" s="8">
        <v>3</v>
      </c>
      <c r="J3" s="8">
        <v>9</v>
      </c>
      <c r="K3" s="8">
        <v>9</v>
      </c>
      <c r="L3" s="9">
        <f t="shared" si="0"/>
        <v>35</v>
      </c>
    </row>
    <row r="4" spans="1:12" x14ac:dyDescent="0.25">
      <c r="A4" s="7" t="s">
        <v>32</v>
      </c>
      <c r="B4" s="7" t="s">
        <v>85</v>
      </c>
      <c r="C4" s="7" t="s">
        <v>82</v>
      </c>
      <c r="D4" s="7" t="s">
        <v>57</v>
      </c>
      <c r="E4" s="7"/>
      <c r="F4" s="7" t="s">
        <v>86</v>
      </c>
      <c r="G4" s="8">
        <v>6</v>
      </c>
      <c r="H4" s="8">
        <v>8</v>
      </c>
      <c r="I4" s="8">
        <v>4</v>
      </c>
      <c r="J4" s="8">
        <v>6</v>
      </c>
      <c r="K4" s="8">
        <v>7</v>
      </c>
      <c r="L4" s="9">
        <f t="shared" si="0"/>
        <v>31</v>
      </c>
    </row>
    <row r="5" spans="1:12" x14ac:dyDescent="0.25">
      <c r="A5" s="7" t="s">
        <v>34</v>
      </c>
      <c r="B5" s="7" t="s">
        <v>87</v>
      </c>
      <c r="C5" s="7" t="s">
        <v>59</v>
      </c>
      <c r="D5" s="7" t="s">
        <v>57</v>
      </c>
      <c r="E5" s="7"/>
      <c r="F5" s="7" t="s">
        <v>88</v>
      </c>
      <c r="G5" s="8">
        <v>5</v>
      </c>
      <c r="H5" s="8">
        <v>7</v>
      </c>
      <c r="I5" s="8">
        <v>6</v>
      </c>
      <c r="J5" s="8">
        <v>6</v>
      </c>
      <c r="K5" s="8">
        <v>6</v>
      </c>
      <c r="L5" s="9">
        <f t="shared" si="0"/>
        <v>30</v>
      </c>
    </row>
    <row r="6" spans="1:12" x14ac:dyDescent="0.25">
      <c r="A6" s="7" t="s">
        <v>34</v>
      </c>
      <c r="B6" s="7" t="s">
        <v>89</v>
      </c>
      <c r="C6" s="7" t="s">
        <v>51</v>
      </c>
      <c r="D6" s="7"/>
      <c r="E6" s="7"/>
      <c r="F6" s="7" t="s">
        <v>90</v>
      </c>
      <c r="G6" s="8">
        <v>5</v>
      </c>
      <c r="H6" s="8">
        <v>6</v>
      </c>
      <c r="I6" s="8">
        <v>6</v>
      </c>
      <c r="J6" s="8">
        <v>7</v>
      </c>
      <c r="K6" s="8">
        <v>7</v>
      </c>
      <c r="L6" s="9">
        <f t="shared" si="0"/>
        <v>31</v>
      </c>
    </row>
    <row r="7" spans="1:12" x14ac:dyDescent="0.25">
      <c r="A7" s="7" t="s">
        <v>31</v>
      </c>
      <c r="B7" s="7" t="s">
        <v>91</v>
      </c>
      <c r="C7" s="7" t="s">
        <v>52</v>
      </c>
      <c r="D7" s="7" t="s">
        <v>57</v>
      </c>
      <c r="E7" s="7" t="s">
        <v>62</v>
      </c>
      <c r="F7" s="7" t="s">
        <v>92</v>
      </c>
      <c r="G7" s="8">
        <v>3</v>
      </c>
      <c r="H7" s="8">
        <v>7</v>
      </c>
      <c r="I7" s="8">
        <v>4</v>
      </c>
      <c r="J7" s="8">
        <v>6</v>
      </c>
      <c r="K7" s="8">
        <v>7</v>
      </c>
      <c r="L7" s="9">
        <f t="shared" si="0"/>
        <v>27</v>
      </c>
    </row>
    <row r="8" spans="1:12" x14ac:dyDescent="0.25">
      <c r="A8" s="7" t="s">
        <v>33</v>
      </c>
      <c r="B8" s="7" t="s">
        <v>93</v>
      </c>
      <c r="C8" s="7" t="s">
        <v>62</v>
      </c>
      <c r="D8" s="7" t="s">
        <v>51</v>
      </c>
      <c r="E8" s="7"/>
      <c r="F8" s="7" t="s">
        <v>95</v>
      </c>
      <c r="G8" s="8">
        <v>4</v>
      </c>
      <c r="H8" s="8">
        <v>6</v>
      </c>
      <c r="I8" s="8">
        <v>5</v>
      </c>
      <c r="J8" s="8">
        <v>6</v>
      </c>
      <c r="K8" s="8">
        <v>7</v>
      </c>
      <c r="L8" s="9">
        <f t="shared" si="0"/>
        <v>28</v>
      </c>
    </row>
    <row r="9" spans="1:12" x14ac:dyDescent="0.25">
      <c r="A9" s="7" t="s">
        <v>23</v>
      </c>
      <c r="B9" s="7" t="s">
        <v>94</v>
      </c>
      <c r="C9" s="7" t="s">
        <v>57</v>
      </c>
      <c r="D9" s="7"/>
      <c r="E9" s="7"/>
      <c r="F9" s="7" t="s">
        <v>96</v>
      </c>
      <c r="G9" s="8">
        <v>4</v>
      </c>
      <c r="H9" s="8">
        <v>9</v>
      </c>
      <c r="I9" s="8">
        <v>5</v>
      </c>
      <c r="J9" s="8">
        <v>7</v>
      </c>
      <c r="K9" s="8">
        <v>8</v>
      </c>
      <c r="L9" s="9">
        <f t="shared" si="0"/>
        <v>33</v>
      </c>
    </row>
    <row r="10" spans="1:12" x14ac:dyDescent="0.25">
      <c r="A10" s="7" t="s">
        <v>33</v>
      </c>
      <c r="B10" s="7" t="s">
        <v>97</v>
      </c>
      <c r="C10" s="7" t="s">
        <v>62</v>
      </c>
      <c r="D10" s="7" t="s">
        <v>59</v>
      </c>
      <c r="E10" s="7"/>
      <c r="F10" s="7" t="s">
        <v>98</v>
      </c>
      <c r="G10" s="8">
        <v>5</v>
      </c>
      <c r="H10" s="8">
        <v>6</v>
      </c>
      <c r="I10" s="8">
        <v>6</v>
      </c>
      <c r="J10" s="8">
        <v>7</v>
      </c>
      <c r="K10" s="8">
        <v>6</v>
      </c>
      <c r="L10" s="9">
        <f t="shared" si="0"/>
        <v>30</v>
      </c>
    </row>
    <row r="11" spans="1:12" x14ac:dyDescent="0.25">
      <c r="A11" s="7" t="s">
        <v>33</v>
      </c>
      <c r="B11" s="7" t="s">
        <v>99</v>
      </c>
      <c r="C11" s="7" t="s">
        <v>52</v>
      </c>
      <c r="D11" s="7" t="s">
        <v>62</v>
      </c>
      <c r="E11" s="7"/>
      <c r="F11" s="7" t="s">
        <v>100</v>
      </c>
      <c r="G11" s="8">
        <v>4</v>
      </c>
      <c r="H11" s="8">
        <v>8</v>
      </c>
      <c r="I11" s="8">
        <v>4</v>
      </c>
      <c r="J11" s="8">
        <v>7</v>
      </c>
      <c r="K11" s="8">
        <v>7</v>
      </c>
      <c r="L11" s="9">
        <f t="shared" si="0"/>
        <v>30</v>
      </c>
    </row>
    <row r="12" spans="1:12" x14ac:dyDescent="0.25">
      <c r="A12" s="7" t="s">
        <v>27</v>
      </c>
      <c r="B12" s="7" t="s">
        <v>101</v>
      </c>
      <c r="C12" s="7" t="s">
        <v>62</v>
      </c>
      <c r="D12" s="7"/>
      <c r="E12" s="7"/>
      <c r="F12" s="7" t="s">
        <v>103</v>
      </c>
      <c r="G12" s="8">
        <v>5</v>
      </c>
      <c r="H12" s="8">
        <v>8</v>
      </c>
      <c r="I12" s="8">
        <v>5</v>
      </c>
      <c r="J12" s="8">
        <v>7</v>
      </c>
      <c r="K12" s="8">
        <v>8</v>
      </c>
      <c r="L12" s="9">
        <f t="shared" si="0"/>
        <v>33</v>
      </c>
    </row>
    <row r="13" spans="1:12" x14ac:dyDescent="0.25">
      <c r="A13" s="7" t="s">
        <v>28</v>
      </c>
      <c r="B13" s="7" t="s">
        <v>102</v>
      </c>
      <c r="C13" s="7" t="s">
        <v>57</v>
      </c>
      <c r="D13" s="7"/>
      <c r="E13" s="7"/>
      <c r="F13" s="7" t="s">
        <v>104</v>
      </c>
      <c r="G13" s="8">
        <v>5</v>
      </c>
      <c r="H13" s="8">
        <v>8</v>
      </c>
      <c r="I13" s="8">
        <v>5</v>
      </c>
      <c r="J13" s="8">
        <v>7</v>
      </c>
      <c r="K13" s="8">
        <v>7</v>
      </c>
      <c r="L13" s="9">
        <f t="shared" si="0"/>
        <v>32</v>
      </c>
    </row>
    <row r="14" spans="1:12" x14ac:dyDescent="0.25">
      <c r="A14" s="7" t="s">
        <v>27</v>
      </c>
      <c r="B14" s="7" t="s">
        <v>140</v>
      </c>
      <c r="C14" s="7" t="s">
        <v>57</v>
      </c>
      <c r="D14" s="7"/>
      <c r="E14" s="7"/>
      <c r="F14" s="7" t="s">
        <v>105</v>
      </c>
      <c r="G14" s="8">
        <v>5</v>
      </c>
      <c r="H14" s="8">
        <v>8</v>
      </c>
      <c r="I14" s="8">
        <v>6</v>
      </c>
      <c r="J14" s="8">
        <v>7</v>
      </c>
      <c r="K14" s="8">
        <v>7</v>
      </c>
      <c r="L14" s="9">
        <f t="shared" si="0"/>
        <v>33</v>
      </c>
    </row>
    <row r="15" spans="1:12" x14ac:dyDescent="0.25">
      <c r="A15" s="7" t="s">
        <v>31</v>
      </c>
      <c r="B15" s="7" t="s">
        <v>106</v>
      </c>
      <c r="C15" s="7" t="s">
        <v>82</v>
      </c>
      <c r="D15" s="7" t="s">
        <v>57</v>
      </c>
      <c r="E15" s="7"/>
      <c r="F15" s="7" t="s">
        <v>107</v>
      </c>
      <c r="G15" s="8">
        <v>5</v>
      </c>
      <c r="H15" s="8">
        <v>7</v>
      </c>
      <c r="I15" s="8">
        <v>4</v>
      </c>
      <c r="J15" s="8">
        <v>7</v>
      </c>
      <c r="K15" s="8">
        <v>7</v>
      </c>
      <c r="L15" s="9">
        <f t="shared" si="0"/>
        <v>30</v>
      </c>
    </row>
    <row r="16" spans="1:12" x14ac:dyDescent="0.25">
      <c r="A16" s="7" t="s">
        <v>36</v>
      </c>
      <c r="B16" s="7" t="s">
        <v>108</v>
      </c>
      <c r="C16" s="7" t="s">
        <v>82</v>
      </c>
      <c r="D16" s="7"/>
      <c r="E16" s="7"/>
      <c r="F16" s="7" t="s">
        <v>109</v>
      </c>
      <c r="G16" s="8">
        <v>3</v>
      </c>
      <c r="H16" s="8">
        <v>7</v>
      </c>
      <c r="I16" s="8">
        <v>5</v>
      </c>
      <c r="J16" s="8">
        <v>6</v>
      </c>
      <c r="K16" s="8">
        <v>9</v>
      </c>
      <c r="L16" s="9">
        <f t="shared" si="0"/>
        <v>30</v>
      </c>
    </row>
    <row r="17" spans="1:12" x14ac:dyDescent="0.25">
      <c r="A17" s="7" t="s">
        <v>31</v>
      </c>
      <c r="B17" s="7" t="s">
        <v>110</v>
      </c>
      <c r="C17" s="7" t="s">
        <v>59</v>
      </c>
      <c r="D17" s="7" t="s">
        <v>62</v>
      </c>
      <c r="E17" s="7"/>
      <c r="F17" s="7" t="s">
        <v>124</v>
      </c>
      <c r="G17" s="8">
        <v>3</v>
      </c>
      <c r="H17" s="8">
        <v>8</v>
      </c>
      <c r="I17" s="8">
        <v>4</v>
      </c>
      <c r="J17" s="8">
        <v>7</v>
      </c>
      <c r="K17" s="8">
        <v>7</v>
      </c>
      <c r="L17" s="9">
        <f t="shared" si="0"/>
        <v>29</v>
      </c>
    </row>
    <row r="18" spans="1:12" x14ac:dyDescent="0.25">
      <c r="A18" s="7" t="s">
        <v>33</v>
      </c>
      <c r="B18" s="7" t="s">
        <v>111</v>
      </c>
      <c r="C18" s="7" t="s">
        <v>62</v>
      </c>
      <c r="D18" s="7"/>
      <c r="E18" s="7"/>
      <c r="F18" s="7" t="s">
        <v>125</v>
      </c>
      <c r="G18" s="8">
        <v>3</v>
      </c>
      <c r="H18" s="8">
        <v>7</v>
      </c>
      <c r="I18" s="8">
        <v>5</v>
      </c>
      <c r="J18" s="8">
        <v>6</v>
      </c>
      <c r="K18" s="8">
        <v>7</v>
      </c>
      <c r="L18" s="9">
        <f t="shared" si="0"/>
        <v>28</v>
      </c>
    </row>
    <row r="19" spans="1:12" x14ac:dyDescent="0.25">
      <c r="A19" s="7" t="s">
        <v>23</v>
      </c>
      <c r="B19" s="7" t="s">
        <v>112</v>
      </c>
      <c r="C19" s="7" t="s">
        <v>62</v>
      </c>
      <c r="D19" s="7" t="s">
        <v>52</v>
      </c>
      <c r="E19" s="7"/>
      <c r="F19" s="7" t="s">
        <v>126</v>
      </c>
      <c r="G19" s="8">
        <v>3</v>
      </c>
      <c r="H19" s="8">
        <v>9</v>
      </c>
      <c r="I19" s="8">
        <v>4</v>
      </c>
      <c r="J19" s="8">
        <v>6</v>
      </c>
      <c r="K19" s="8">
        <v>7</v>
      </c>
      <c r="L19" s="9">
        <f t="shared" si="0"/>
        <v>29</v>
      </c>
    </row>
    <row r="20" spans="1:12" x14ac:dyDescent="0.25">
      <c r="A20" s="7" t="s">
        <v>25</v>
      </c>
      <c r="B20" s="7" t="s">
        <v>113</v>
      </c>
      <c r="C20" s="7" t="s">
        <v>82</v>
      </c>
      <c r="D20" s="7" t="s">
        <v>62</v>
      </c>
      <c r="E20" s="7"/>
      <c r="F20" s="7" t="s">
        <v>127</v>
      </c>
      <c r="G20" s="8">
        <v>4</v>
      </c>
      <c r="H20" s="8">
        <v>9</v>
      </c>
      <c r="I20" s="8">
        <v>4</v>
      </c>
      <c r="J20" s="8">
        <v>7</v>
      </c>
      <c r="K20" s="8">
        <v>6</v>
      </c>
      <c r="L20" s="9">
        <f t="shared" si="0"/>
        <v>30</v>
      </c>
    </row>
    <row r="21" spans="1:12" x14ac:dyDescent="0.25">
      <c r="A21" s="7" t="s">
        <v>27</v>
      </c>
      <c r="B21" s="7" t="s">
        <v>114</v>
      </c>
      <c r="C21" s="7" t="s">
        <v>62</v>
      </c>
      <c r="D21" s="7"/>
      <c r="E21" s="7"/>
      <c r="F21" s="7" t="s">
        <v>128</v>
      </c>
      <c r="G21" s="8">
        <v>3</v>
      </c>
      <c r="H21" s="8">
        <v>9</v>
      </c>
      <c r="I21" s="8">
        <v>5</v>
      </c>
      <c r="J21" s="8">
        <v>6</v>
      </c>
      <c r="K21" s="8">
        <v>6</v>
      </c>
      <c r="L21" s="9">
        <f t="shared" si="0"/>
        <v>29</v>
      </c>
    </row>
    <row r="22" spans="1:12" x14ac:dyDescent="0.25">
      <c r="A22" s="7" t="s">
        <v>27</v>
      </c>
      <c r="B22" s="7" t="s">
        <v>115</v>
      </c>
      <c r="C22" s="7" t="s">
        <v>52</v>
      </c>
      <c r="D22" s="7"/>
      <c r="E22" s="7"/>
      <c r="F22" s="7" t="s">
        <v>129</v>
      </c>
      <c r="G22" s="8">
        <v>5</v>
      </c>
      <c r="H22" s="8">
        <v>8</v>
      </c>
      <c r="I22" s="8">
        <v>6</v>
      </c>
      <c r="J22" s="8">
        <v>6</v>
      </c>
      <c r="K22" s="8">
        <v>6</v>
      </c>
      <c r="L22" s="9">
        <f t="shared" si="0"/>
        <v>31</v>
      </c>
    </row>
    <row r="23" spans="1:12" x14ac:dyDescent="0.25">
      <c r="A23" s="7" t="s">
        <v>27</v>
      </c>
      <c r="B23" s="7" t="s">
        <v>116</v>
      </c>
      <c r="C23" s="7" t="s">
        <v>57</v>
      </c>
      <c r="D23" s="7"/>
      <c r="E23" s="7"/>
      <c r="F23" s="7" t="s">
        <v>130</v>
      </c>
      <c r="G23" s="8">
        <v>5</v>
      </c>
      <c r="H23" s="8">
        <v>8</v>
      </c>
      <c r="I23" s="8">
        <v>5</v>
      </c>
      <c r="J23" s="8">
        <v>6</v>
      </c>
      <c r="K23" s="8">
        <v>7</v>
      </c>
      <c r="L23" s="9">
        <f t="shared" si="0"/>
        <v>31</v>
      </c>
    </row>
    <row r="24" spans="1:12" x14ac:dyDescent="0.25">
      <c r="A24" s="7" t="s">
        <v>34</v>
      </c>
      <c r="B24" s="7" t="s">
        <v>117</v>
      </c>
      <c r="C24" s="7" t="s">
        <v>59</v>
      </c>
      <c r="D24" s="7"/>
      <c r="E24" s="7"/>
      <c r="F24" s="7" t="s">
        <v>131</v>
      </c>
      <c r="G24" s="8">
        <v>5</v>
      </c>
      <c r="H24" s="8">
        <v>7</v>
      </c>
      <c r="I24" s="8">
        <v>6</v>
      </c>
      <c r="J24" s="8">
        <v>6</v>
      </c>
      <c r="K24" s="8">
        <v>6</v>
      </c>
      <c r="L24" s="9">
        <f t="shared" si="0"/>
        <v>30</v>
      </c>
    </row>
    <row r="25" spans="1:12" x14ac:dyDescent="0.25">
      <c r="A25" s="7" t="s">
        <v>26</v>
      </c>
      <c r="B25" s="7" t="s">
        <v>118</v>
      </c>
      <c r="C25" s="7" t="s">
        <v>82</v>
      </c>
      <c r="D25" s="7"/>
      <c r="E25" s="7"/>
      <c r="F25" s="7" t="s">
        <v>132</v>
      </c>
      <c r="G25" s="8">
        <v>4</v>
      </c>
      <c r="H25" s="8">
        <v>8</v>
      </c>
      <c r="I25" s="8">
        <v>5</v>
      </c>
      <c r="J25" s="8">
        <v>7</v>
      </c>
      <c r="K25" s="8">
        <v>6</v>
      </c>
      <c r="L25" s="9">
        <f t="shared" si="0"/>
        <v>30</v>
      </c>
    </row>
    <row r="26" spans="1:12" x14ac:dyDescent="0.25">
      <c r="A26" s="7" t="s">
        <v>39</v>
      </c>
      <c r="B26" s="7" t="s">
        <v>119</v>
      </c>
      <c r="C26" s="7" t="s">
        <v>82</v>
      </c>
      <c r="D26" s="7"/>
      <c r="E26" s="7"/>
      <c r="F26" s="7" t="s">
        <v>133</v>
      </c>
      <c r="G26" s="8">
        <v>3</v>
      </c>
      <c r="H26" s="8">
        <v>7</v>
      </c>
      <c r="I26" s="8">
        <v>5</v>
      </c>
      <c r="J26" s="8">
        <v>6</v>
      </c>
      <c r="K26" s="8">
        <v>8</v>
      </c>
      <c r="L26" s="9">
        <f t="shared" si="0"/>
        <v>29</v>
      </c>
    </row>
    <row r="27" spans="1:12" x14ac:dyDescent="0.25">
      <c r="A27" s="7" t="s">
        <v>35</v>
      </c>
      <c r="B27" s="7" t="s">
        <v>120</v>
      </c>
      <c r="C27" s="7" t="s">
        <v>82</v>
      </c>
      <c r="D27" s="7" t="s">
        <v>57</v>
      </c>
      <c r="E27" s="7"/>
      <c r="F27" s="7" t="s">
        <v>134</v>
      </c>
      <c r="G27" s="8">
        <v>4</v>
      </c>
      <c r="H27" s="8">
        <v>7</v>
      </c>
      <c r="I27" s="8">
        <v>4</v>
      </c>
      <c r="J27" s="8">
        <v>6</v>
      </c>
      <c r="K27" s="8">
        <v>7</v>
      </c>
      <c r="L27" s="9">
        <f t="shared" si="0"/>
        <v>28</v>
      </c>
    </row>
    <row r="28" spans="1:12" x14ac:dyDescent="0.25">
      <c r="A28" s="21" t="s">
        <v>142</v>
      </c>
      <c r="B28" s="7" t="s">
        <v>121</v>
      </c>
      <c r="C28" s="7" t="s">
        <v>82</v>
      </c>
      <c r="D28" s="7"/>
      <c r="E28" s="7"/>
      <c r="F28" s="7" t="s">
        <v>135</v>
      </c>
      <c r="G28" s="8">
        <v>3</v>
      </c>
      <c r="H28" s="8">
        <v>7</v>
      </c>
      <c r="I28" s="8">
        <v>3</v>
      </c>
      <c r="J28" s="8">
        <v>6</v>
      </c>
      <c r="K28" s="8">
        <v>6</v>
      </c>
      <c r="L28" s="9">
        <f t="shared" si="0"/>
        <v>25</v>
      </c>
    </row>
    <row r="29" spans="1:12" x14ac:dyDescent="0.25">
      <c r="A29" s="7" t="s">
        <v>33</v>
      </c>
      <c r="B29" s="7" t="s">
        <v>122</v>
      </c>
      <c r="C29" s="7" t="s">
        <v>51</v>
      </c>
      <c r="D29" s="7"/>
      <c r="E29" s="7"/>
      <c r="F29" s="7" t="s">
        <v>136</v>
      </c>
      <c r="G29" s="8">
        <v>5</v>
      </c>
      <c r="H29" s="8">
        <v>6</v>
      </c>
      <c r="I29" s="8">
        <v>5</v>
      </c>
      <c r="J29" s="8">
        <v>6</v>
      </c>
      <c r="K29" s="8">
        <v>6</v>
      </c>
      <c r="L29" s="9">
        <f t="shared" si="0"/>
        <v>28</v>
      </c>
    </row>
    <row r="30" spans="1:12" x14ac:dyDescent="0.25">
      <c r="A30" s="7" t="s">
        <v>34</v>
      </c>
      <c r="B30" s="7" t="s">
        <v>123</v>
      </c>
      <c r="C30" s="7" t="s">
        <v>82</v>
      </c>
      <c r="D30" s="7"/>
      <c r="E30" s="7"/>
      <c r="F30" s="7" t="s">
        <v>137</v>
      </c>
      <c r="G30" s="8">
        <v>4</v>
      </c>
      <c r="H30" s="8">
        <v>6</v>
      </c>
      <c r="I30" s="8">
        <v>5</v>
      </c>
      <c r="J30" s="8">
        <v>7</v>
      </c>
      <c r="K30" s="8">
        <v>6</v>
      </c>
      <c r="L30" s="9">
        <f t="shared" si="0"/>
        <v>28</v>
      </c>
    </row>
    <row r="31" spans="1:12" x14ac:dyDescent="0.25">
      <c r="A31" s="7" t="s">
        <v>25</v>
      </c>
      <c r="B31" s="7" t="s">
        <v>138</v>
      </c>
      <c r="C31" s="7" t="s">
        <v>59</v>
      </c>
      <c r="D31" s="7" t="s">
        <v>62</v>
      </c>
      <c r="E31" s="7"/>
      <c r="F31" s="7" t="s">
        <v>139</v>
      </c>
      <c r="G31" s="8">
        <v>4</v>
      </c>
      <c r="H31" s="8">
        <v>8</v>
      </c>
      <c r="I31" s="8">
        <v>4</v>
      </c>
      <c r="J31" s="8">
        <v>6</v>
      </c>
      <c r="K31" s="8">
        <v>6</v>
      </c>
      <c r="L31" s="9">
        <f t="shared" si="0"/>
        <v>28</v>
      </c>
    </row>
    <row r="32" spans="1:12" x14ac:dyDescent="0.25">
      <c r="A32" s="7"/>
      <c r="B32" s="7"/>
      <c r="C32" s="7"/>
      <c r="D32" s="7"/>
      <c r="E32" s="7"/>
      <c r="F32" s="7"/>
      <c r="G32" s="8"/>
      <c r="H32" s="8"/>
      <c r="I32" s="8"/>
      <c r="J32" s="8"/>
      <c r="K32" s="8"/>
      <c r="L32" s="9" t="str">
        <f t="shared" si="0"/>
        <v/>
      </c>
    </row>
    <row r="33" spans="1:12" x14ac:dyDescent="0.25">
      <c r="A33" s="7"/>
      <c r="B33" s="7"/>
      <c r="C33" s="7"/>
      <c r="D33" s="7"/>
      <c r="E33" s="7"/>
      <c r="F33" s="7"/>
      <c r="G33" s="8"/>
      <c r="H33" s="8"/>
      <c r="I33" s="8"/>
      <c r="J33" s="8"/>
      <c r="K33" s="8"/>
      <c r="L33" s="9" t="str">
        <f t="shared" si="0"/>
        <v/>
      </c>
    </row>
    <row r="34" spans="1:12" x14ac:dyDescent="0.25">
      <c r="A34" s="7"/>
      <c r="B34" s="7"/>
      <c r="C34" s="7"/>
      <c r="D34" s="7"/>
      <c r="E34" s="7"/>
      <c r="F34" s="7"/>
      <c r="G34" s="8"/>
      <c r="H34" s="8"/>
      <c r="I34" s="8"/>
      <c r="J34" s="8"/>
      <c r="K34" s="8"/>
      <c r="L34" s="9" t="str">
        <f t="shared" ref="L34:L65" si="1">IF(B34="","",SUM(G34:K34))</f>
        <v/>
      </c>
    </row>
    <row r="35" spans="1:12" x14ac:dyDescent="0.25">
      <c r="A35" s="7"/>
      <c r="B35" s="7"/>
      <c r="C35" s="7"/>
      <c r="D35" s="7"/>
      <c r="E35" s="7"/>
      <c r="F35" s="7"/>
      <c r="G35" s="8"/>
      <c r="H35" s="8"/>
      <c r="I35" s="8"/>
      <c r="J35" s="8"/>
      <c r="K35" s="8"/>
      <c r="L35" s="9" t="str">
        <f t="shared" si="1"/>
        <v/>
      </c>
    </row>
    <row r="36" spans="1:12" x14ac:dyDescent="0.25">
      <c r="A36" s="7"/>
      <c r="B36" s="7"/>
      <c r="C36" s="7"/>
      <c r="D36" s="7"/>
      <c r="E36" s="7"/>
      <c r="F36" s="7"/>
      <c r="G36" s="8"/>
      <c r="H36" s="8"/>
      <c r="I36" s="8"/>
      <c r="J36" s="8"/>
      <c r="K36" s="8"/>
      <c r="L36" s="9" t="str">
        <f t="shared" si="1"/>
        <v/>
      </c>
    </row>
    <row r="37" spans="1:12" x14ac:dyDescent="0.25">
      <c r="A37" s="7"/>
      <c r="B37" s="7"/>
      <c r="C37" s="7"/>
      <c r="D37" s="7"/>
      <c r="E37" s="7"/>
      <c r="F37" s="7"/>
      <c r="G37" s="8"/>
      <c r="H37" s="8"/>
      <c r="I37" s="8"/>
      <c r="J37" s="8"/>
      <c r="K37" s="8"/>
      <c r="L37" s="9" t="str">
        <f t="shared" si="1"/>
        <v/>
      </c>
    </row>
    <row r="38" spans="1:12" x14ac:dyDescent="0.25">
      <c r="A38" s="7"/>
      <c r="B38" s="7"/>
      <c r="C38" s="7"/>
      <c r="D38" s="7"/>
      <c r="E38" s="7"/>
      <c r="F38" s="7"/>
      <c r="G38" s="8"/>
      <c r="H38" s="8"/>
      <c r="I38" s="8"/>
      <c r="J38" s="8"/>
      <c r="K38" s="8"/>
      <c r="L38" s="9" t="str">
        <f t="shared" si="1"/>
        <v/>
      </c>
    </row>
    <row r="39" spans="1:12" x14ac:dyDescent="0.25">
      <c r="A39" s="7"/>
      <c r="B39" s="7"/>
      <c r="C39" s="7"/>
      <c r="D39" s="7"/>
      <c r="E39" s="7"/>
      <c r="F39" s="7"/>
      <c r="G39" s="8"/>
      <c r="H39" s="8"/>
      <c r="I39" s="8"/>
      <c r="J39" s="8"/>
      <c r="K39" s="8"/>
      <c r="L39" s="9" t="str">
        <f t="shared" si="1"/>
        <v/>
      </c>
    </row>
    <row r="40" spans="1:12" x14ac:dyDescent="0.25">
      <c r="A40" s="7"/>
      <c r="B40" s="7"/>
      <c r="C40" s="7"/>
      <c r="D40" s="7"/>
      <c r="E40" s="7"/>
      <c r="F40" s="7"/>
      <c r="G40" s="8"/>
      <c r="H40" s="8"/>
      <c r="I40" s="8"/>
      <c r="J40" s="8"/>
      <c r="K40" s="8"/>
      <c r="L40" s="9" t="str">
        <f t="shared" si="1"/>
        <v/>
      </c>
    </row>
    <row r="41" spans="1:12" x14ac:dyDescent="0.25">
      <c r="A41" s="7"/>
      <c r="B41" s="7"/>
      <c r="C41" s="7"/>
      <c r="D41" s="7"/>
      <c r="E41" s="7"/>
      <c r="F41" s="7"/>
      <c r="G41" s="8"/>
      <c r="H41" s="8"/>
      <c r="I41" s="8"/>
      <c r="J41" s="8"/>
      <c r="K41" s="8"/>
      <c r="L41" s="9" t="str">
        <f t="shared" si="1"/>
        <v/>
      </c>
    </row>
    <row r="42" spans="1:12" x14ac:dyDescent="0.25">
      <c r="A42" s="7"/>
      <c r="B42" s="7"/>
      <c r="C42" s="7"/>
      <c r="D42" s="7"/>
      <c r="E42" s="7"/>
      <c r="F42" s="7"/>
      <c r="G42" s="8"/>
      <c r="H42" s="8"/>
      <c r="I42" s="8"/>
      <c r="J42" s="8"/>
      <c r="K42" s="8"/>
      <c r="L42" s="9" t="str">
        <f t="shared" si="1"/>
        <v/>
      </c>
    </row>
    <row r="43" spans="1:12" x14ac:dyDescent="0.25">
      <c r="A43" s="7"/>
      <c r="B43" s="7"/>
      <c r="C43" s="7"/>
      <c r="D43" s="7"/>
      <c r="E43" s="7"/>
      <c r="F43" s="7"/>
      <c r="G43" s="8"/>
      <c r="H43" s="8"/>
      <c r="I43" s="8"/>
      <c r="J43" s="8"/>
      <c r="K43" s="8"/>
      <c r="L43" s="9" t="str">
        <f t="shared" si="1"/>
        <v/>
      </c>
    </row>
    <row r="44" spans="1:12" x14ac:dyDescent="0.25">
      <c r="A44" s="7"/>
      <c r="B44" s="7"/>
      <c r="C44" s="7"/>
      <c r="D44" s="7"/>
      <c r="E44" s="7"/>
      <c r="F44" s="7"/>
      <c r="G44" s="8"/>
      <c r="H44" s="8"/>
      <c r="I44" s="8"/>
      <c r="J44" s="8"/>
      <c r="K44" s="8"/>
      <c r="L44" s="9" t="str">
        <f t="shared" si="1"/>
        <v/>
      </c>
    </row>
    <row r="45" spans="1:12" x14ac:dyDescent="0.25">
      <c r="A45" s="7"/>
      <c r="B45" s="7"/>
      <c r="C45" s="7"/>
      <c r="D45" s="7"/>
      <c r="E45" s="7"/>
      <c r="F45" s="7"/>
      <c r="G45" s="8"/>
      <c r="H45" s="8"/>
      <c r="I45" s="8"/>
      <c r="J45" s="8"/>
      <c r="K45" s="8"/>
      <c r="L45" s="9" t="str">
        <f t="shared" si="1"/>
        <v/>
      </c>
    </row>
    <row r="46" spans="1:12" x14ac:dyDescent="0.25">
      <c r="A46" s="7"/>
      <c r="B46" s="7"/>
      <c r="C46" s="7"/>
      <c r="D46" s="7"/>
      <c r="E46" s="7"/>
      <c r="F46" s="7"/>
      <c r="G46" s="8"/>
      <c r="H46" s="8"/>
      <c r="I46" s="8"/>
      <c r="J46" s="8"/>
      <c r="K46" s="8"/>
      <c r="L46" s="9" t="str">
        <f t="shared" si="1"/>
        <v/>
      </c>
    </row>
    <row r="47" spans="1:12" x14ac:dyDescent="0.25">
      <c r="A47" s="7"/>
      <c r="B47" s="7"/>
      <c r="C47" s="7"/>
      <c r="D47" s="7"/>
      <c r="E47" s="7"/>
      <c r="F47" s="7"/>
      <c r="G47" s="8"/>
      <c r="H47" s="8"/>
      <c r="I47" s="8"/>
      <c r="J47" s="8"/>
      <c r="K47" s="8"/>
      <c r="L47" s="9" t="str">
        <f t="shared" si="1"/>
        <v/>
      </c>
    </row>
    <row r="48" spans="1:12" x14ac:dyDescent="0.25">
      <c r="A48" s="7"/>
      <c r="B48" s="7"/>
      <c r="C48" s="7"/>
      <c r="D48" s="7"/>
      <c r="E48" s="7"/>
      <c r="F48" s="7"/>
      <c r="G48" s="8"/>
      <c r="H48" s="8"/>
      <c r="I48" s="8"/>
      <c r="J48" s="8"/>
      <c r="K48" s="8"/>
      <c r="L48" s="9" t="str">
        <f t="shared" si="1"/>
        <v/>
      </c>
    </row>
    <row r="49" spans="1:12" x14ac:dyDescent="0.25">
      <c r="A49" s="7"/>
      <c r="B49" s="7"/>
      <c r="C49" s="7"/>
      <c r="D49" s="7"/>
      <c r="E49" s="7"/>
      <c r="F49" s="7"/>
      <c r="G49" s="8"/>
      <c r="H49" s="8"/>
      <c r="I49" s="8"/>
      <c r="J49" s="8"/>
      <c r="K49" s="8"/>
      <c r="L49" s="9" t="str">
        <f t="shared" si="1"/>
        <v/>
      </c>
    </row>
    <row r="50" spans="1:12" x14ac:dyDescent="0.25">
      <c r="A50" s="7"/>
      <c r="B50" s="7"/>
      <c r="C50" s="7"/>
      <c r="D50" s="7"/>
      <c r="E50" s="7"/>
      <c r="F50" s="7"/>
      <c r="G50" s="8"/>
      <c r="H50" s="8"/>
      <c r="I50" s="8"/>
      <c r="J50" s="8"/>
      <c r="K50" s="8"/>
      <c r="L50" s="9" t="str">
        <f t="shared" si="1"/>
        <v/>
      </c>
    </row>
    <row r="51" spans="1:12" x14ac:dyDescent="0.25">
      <c r="A51" s="7"/>
      <c r="B51" s="7"/>
      <c r="C51" s="7"/>
      <c r="D51" s="7"/>
      <c r="E51" s="7"/>
      <c r="F51" s="7"/>
      <c r="G51" s="8"/>
      <c r="H51" s="8"/>
      <c r="I51" s="8"/>
      <c r="J51" s="8"/>
      <c r="K51" s="8"/>
      <c r="L51" s="9" t="str">
        <f t="shared" si="1"/>
        <v/>
      </c>
    </row>
    <row r="52" spans="1:12" x14ac:dyDescent="0.25">
      <c r="A52" s="7"/>
      <c r="B52" s="7"/>
      <c r="C52" s="7"/>
      <c r="D52" s="7"/>
      <c r="E52" s="7"/>
      <c r="F52" s="7"/>
      <c r="G52" s="8"/>
      <c r="H52" s="8"/>
      <c r="I52" s="8"/>
      <c r="J52" s="8"/>
      <c r="K52" s="8"/>
      <c r="L52" s="9" t="str">
        <f t="shared" si="1"/>
        <v/>
      </c>
    </row>
    <row r="53" spans="1:12" x14ac:dyDescent="0.25">
      <c r="A53" s="7"/>
      <c r="B53" s="7"/>
      <c r="C53" s="7"/>
      <c r="D53" s="7"/>
      <c r="E53" s="7"/>
      <c r="F53" s="7"/>
      <c r="G53" s="8"/>
      <c r="H53" s="8"/>
      <c r="I53" s="8"/>
      <c r="J53" s="8"/>
      <c r="K53" s="8"/>
      <c r="L53" s="9" t="str">
        <f t="shared" si="1"/>
        <v/>
      </c>
    </row>
    <row r="54" spans="1:12" x14ac:dyDescent="0.25">
      <c r="A54" s="7"/>
      <c r="B54" s="7"/>
      <c r="C54" s="7"/>
      <c r="D54" s="7"/>
      <c r="E54" s="7"/>
      <c r="F54" s="7"/>
      <c r="G54" s="8"/>
      <c r="H54" s="8"/>
      <c r="I54" s="8"/>
      <c r="J54" s="8"/>
      <c r="K54" s="8"/>
      <c r="L54" s="9" t="str">
        <f t="shared" si="1"/>
        <v/>
      </c>
    </row>
    <row r="55" spans="1:12" x14ac:dyDescent="0.25">
      <c r="A55" s="7"/>
      <c r="B55" s="7"/>
      <c r="C55" s="7"/>
      <c r="D55" s="7"/>
      <c r="E55" s="7"/>
      <c r="F55" s="7"/>
      <c r="G55" s="8"/>
      <c r="H55" s="8"/>
      <c r="I55" s="8"/>
      <c r="J55" s="8"/>
      <c r="K55" s="8"/>
      <c r="L55" s="9" t="str">
        <f t="shared" si="1"/>
        <v/>
      </c>
    </row>
    <row r="56" spans="1:12" x14ac:dyDescent="0.25">
      <c r="A56" s="7"/>
      <c r="B56" s="7"/>
      <c r="C56" s="7"/>
      <c r="D56" s="7"/>
      <c r="E56" s="7"/>
      <c r="F56" s="7"/>
      <c r="G56" s="8"/>
      <c r="H56" s="8"/>
      <c r="I56" s="8"/>
      <c r="J56" s="8"/>
      <c r="K56" s="8"/>
      <c r="L56" s="9" t="str">
        <f t="shared" si="1"/>
        <v/>
      </c>
    </row>
    <row r="57" spans="1:12" x14ac:dyDescent="0.25">
      <c r="A57" s="7"/>
      <c r="B57" s="7"/>
      <c r="C57" s="7"/>
      <c r="D57" s="7"/>
      <c r="E57" s="7"/>
      <c r="F57" s="7"/>
      <c r="G57" s="8"/>
      <c r="H57" s="8"/>
      <c r="I57" s="8"/>
      <c r="J57" s="8"/>
      <c r="K57" s="8"/>
      <c r="L57" s="9" t="str">
        <f t="shared" si="1"/>
        <v/>
      </c>
    </row>
    <row r="58" spans="1:12" x14ac:dyDescent="0.25">
      <c r="A58" s="7"/>
      <c r="B58" s="7"/>
      <c r="C58" s="7"/>
      <c r="D58" s="7"/>
      <c r="E58" s="7"/>
      <c r="F58" s="7"/>
      <c r="G58" s="8"/>
      <c r="H58" s="8"/>
      <c r="I58" s="8"/>
      <c r="J58" s="8"/>
      <c r="K58" s="8"/>
      <c r="L58" s="9" t="str">
        <f t="shared" si="1"/>
        <v/>
      </c>
    </row>
    <row r="59" spans="1:12" x14ac:dyDescent="0.25">
      <c r="A59" s="7"/>
      <c r="B59" s="7"/>
      <c r="C59" s="7"/>
      <c r="D59" s="7"/>
      <c r="E59" s="7"/>
      <c r="F59" s="7"/>
      <c r="G59" s="8"/>
      <c r="H59" s="8"/>
      <c r="I59" s="8"/>
      <c r="J59" s="8"/>
      <c r="K59" s="8"/>
      <c r="L59" s="9" t="str">
        <f t="shared" si="1"/>
        <v/>
      </c>
    </row>
    <row r="60" spans="1:12" x14ac:dyDescent="0.25">
      <c r="A60" s="7"/>
      <c r="B60" s="7"/>
      <c r="C60" s="7"/>
      <c r="D60" s="7"/>
      <c r="E60" s="7"/>
      <c r="F60" s="7"/>
      <c r="G60" s="8"/>
      <c r="H60" s="8"/>
      <c r="I60" s="8"/>
      <c r="J60" s="8"/>
      <c r="K60" s="8"/>
      <c r="L60" s="9" t="str">
        <f t="shared" si="1"/>
        <v/>
      </c>
    </row>
    <row r="61" spans="1:12" x14ac:dyDescent="0.25">
      <c r="A61" s="7"/>
      <c r="B61" s="7"/>
      <c r="C61" s="7"/>
      <c r="D61" s="7"/>
      <c r="E61" s="7"/>
      <c r="F61" s="7"/>
      <c r="G61" s="8"/>
      <c r="H61" s="8"/>
      <c r="I61" s="8"/>
      <c r="J61" s="8"/>
      <c r="K61" s="8"/>
      <c r="L61" s="9" t="str">
        <f t="shared" si="1"/>
        <v/>
      </c>
    </row>
    <row r="62" spans="1:12" x14ac:dyDescent="0.25">
      <c r="A62" s="7"/>
      <c r="B62" s="7"/>
      <c r="C62" s="7"/>
      <c r="D62" s="7"/>
      <c r="E62" s="7"/>
      <c r="F62" s="7"/>
      <c r="G62" s="8"/>
      <c r="H62" s="8"/>
      <c r="I62" s="8"/>
      <c r="J62" s="8"/>
      <c r="K62" s="8"/>
      <c r="L62" s="9" t="str">
        <f t="shared" si="1"/>
        <v/>
      </c>
    </row>
    <row r="63" spans="1:12" x14ac:dyDescent="0.25">
      <c r="A63" s="7"/>
      <c r="B63" s="7"/>
      <c r="C63" s="7"/>
      <c r="D63" s="7"/>
      <c r="E63" s="7"/>
      <c r="F63" s="7"/>
      <c r="G63" s="8"/>
      <c r="H63" s="8"/>
      <c r="I63" s="8"/>
      <c r="J63" s="8"/>
      <c r="K63" s="8"/>
      <c r="L63" s="9" t="str">
        <f t="shared" si="1"/>
        <v/>
      </c>
    </row>
    <row r="64" spans="1:12" x14ac:dyDescent="0.25">
      <c r="A64" s="7"/>
      <c r="B64" s="7"/>
      <c r="C64" s="7"/>
      <c r="D64" s="7"/>
      <c r="E64" s="7"/>
      <c r="F64" s="7"/>
      <c r="G64" s="8"/>
      <c r="H64" s="8"/>
      <c r="I64" s="8"/>
      <c r="J64" s="8"/>
      <c r="K64" s="8"/>
      <c r="L64" s="9" t="str">
        <f t="shared" si="1"/>
        <v/>
      </c>
    </row>
    <row r="65" spans="1:12" x14ac:dyDescent="0.25">
      <c r="A65" s="7"/>
      <c r="B65" s="7"/>
      <c r="C65" s="7"/>
      <c r="D65" s="7"/>
      <c r="E65" s="7"/>
      <c r="F65" s="7"/>
      <c r="G65" s="8"/>
      <c r="H65" s="8"/>
      <c r="I65" s="8"/>
      <c r="J65" s="8"/>
      <c r="K65" s="8"/>
      <c r="L65" s="9" t="str">
        <f t="shared" si="1"/>
        <v/>
      </c>
    </row>
    <row r="66" spans="1:12" x14ac:dyDescent="0.25">
      <c r="A66" s="7"/>
      <c r="B66" s="7"/>
      <c r="C66" s="7"/>
      <c r="D66" s="7"/>
      <c r="E66" s="7"/>
      <c r="F66" s="7"/>
      <c r="G66" s="8"/>
      <c r="H66" s="8"/>
      <c r="I66" s="8"/>
      <c r="J66" s="8"/>
      <c r="K66" s="8"/>
      <c r="L66" s="9" t="str">
        <f t="shared" ref="L66:L97" si="2">IF(B66="","",SUM(G66:K66))</f>
        <v/>
      </c>
    </row>
    <row r="67" spans="1:12" x14ac:dyDescent="0.25">
      <c r="A67" s="7"/>
      <c r="B67" s="7"/>
      <c r="C67" s="7"/>
      <c r="D67" s="7"/>
      <c r="E67" s="7"/>
      <c r="F67" s="7"/>
      <c r="G67" s="8"/>
      <c r="H67" s="8"/>
      <c r="I67" s="8"/>
      <c r="J67" s="8"/>
      <c r="K67" s="8"/>
      <c r="L67" s="9" t="str">
        <f t="shared" si="2"/>
        <v/>
      </c>
    </row>
    <row r="68" spans="1:12" x14ac:dyDescent="0.25">
      <c r="A68" s="7"/>
      <c r="B68" s="7"/>
      <c r="C68" s="7"/>
      <c r="D68" s="7"/>
      <c r="E68" s="7"/>
      <c r="F68" s="7"/>
      <c r="G68" s="8"/>
      <c r="H68" s="8"/>
      <c r="I68" s="8"/>
      <c r="J68" s="8"/>
      <c r="K68" s="8"/>
      <c r="L68" s="9" t="str">
        <f t="shared" si="2"/>
        <v/>
      </c>
    </row>
    <row r="69" spans="1:12" x14ac:dyDescent="0.25">
      <c r="A69" s="7"/>
      <c r="B69" s="7"/>
      <c r="C69" s="7"/>
      <c r="D69" s="7"/>
      <c r="E69" s="7"/>
      <c r="F69" s="7"/>
      <c r="G69" s="8"/>
      <c r="H69" s="8"/>
      <c r="I69" s="8"/>
      <c r="J69" s="8"/>
      <c r="K69" s="8"/>
      <c r="L69" s="9" t="str">
        <f t="shared" si="2"/>
        <v/>
      </c>
    </row>
    <row r="70" spans="1:12" x14ac:dyDescent="0.25">
      <c r="A70" s="7"/>
      <c r="B70" s="7"/>
      <c r="C70" s="7"/>
      <c r="D70" s="7"/>
      <c r="E70" s="7"/>
      <c r="F70" s="7"/>
      <c r="G70" s="8"/>
      <c r="H70" s="8"/>
      <c r="I70" s="8"/>
      <c r="J70" s="8"/>
      <c r="K70" s="8"/>
      <c r="L70" s="9" t="str">
        <f t="shared" si="2"/>
        <v/>
      </c>
    </row>
    <row r="71" spans="1:12" x14ac:dyDescent="0.25">
      <c r="A71" s="7"/>
      <c r="B71" s="7"/>
      <c r="C71" s="7"/>
      <c r="D71" s="7"/>
      <c r="E71" s="7"/>
      <c r="F71" s="7"/>
      <c r="G71" s="8"/>
      <c r="H71" s="8"/>
      <c r="I71" s="8"/>
      <c r="J71" s="8"/>
      <c r="K71" s="8"/>
      <c r="L71" s="9" t="str">
        <f t="shared" si="2"/>
        <v/>
      </c>
    </row>
    <row r="72" spans="1:12" x14ac:dyDescent="0.25">
      <c r="A72" s="7"/>
      <c r="B72" s="7"/>
      <c r="C72" s="7"/>
      <c r="D72" s="7"/>
      <c r="E72" s="7"/>
      <c r="F72" s="7"/>
      <c r="G72" s="8"/>
      <c r="H72" s="8"/>
      <c r="I72" s="8"/>
      <c r="J72" s="8"/>
      <c r="K72" s="8"/>
      <c r="L72" s="9" t="str">
        <f t="shared" si="2"/>
        <v/>
      </c>
    </row>
    <row r="73" spans="1:12" x14ac:dyDescent="0.25">
      <c r="A73" s="7"/>
      <c r="B73" s="7"/>
      <c r="C73" s="7"/>
      <c r="D73" s="7"/>
      <c r="E73" s="7"/>
      <c r="F73" s="7"/>
      <c r="G73" s="8"/>
      <c r="H73" s="8"/>
      <c r="I73" s="8"/>
      <c r="J73" s="8"/>
      <c r="K73" s="8"/>
      <c r="L73" s="9" t="str">
        <f t="shared" si="2"/>
        <v/>
      </c>
    </row>
    <row r="74" spans="1:12" x14ac:dyDescent="0.25">
      <c r="A74" s="7"/>
      <c r="B74" s="7"/>
      <c r="C74" s="7"/>
      <c r="D74" s="7"/>
      <c r="E74" s="7"/>
      <c r="F74" s="7"/>
      <c r="G74" s="8"/>
      <c r="H74" s="8"/>
      <c r="I74" s="8"/>
      <c r="J74" s="8"/>
      <c r="K74" s="8"/>
      <c r="L74" s="9" t="str">
        <f t="shared" si="2"/>
        <v/>
      </c>
    </row>
    <row r="75" spans="1:12" x14ac:dyDescent="0.25">
      <c r="A75" s="7"/>
      <c r="B75" s="7"/>
      <c r="C75" s="7"/>
      <c r="D75" s="7"/>
      <c r="E75" s="7"/>
      <c r="F75" s="7"/>
      <c r="G75" s="8"/>
      <c r="H75" s="8"/>
      <c r="I75" s="8"/>
      <c r="J75" s="8"/>
      <c r="K75" s="8"/>
      <c r="L75" s="9" t="str">
        <f t="shared" si="2"/>
        <v/>
      </c>
    </row>
    <row r="76" spans="1:12" x14ac:dyDescent="0.25">
      <c r="A76" s="7"/>
      <c r="B76" s="7"/>
      <c r="C76" s="7"/>
      <c r="D76" s="7"/>
      <c r="E76" s="7"/>
      <c r="F76" s="7"/>
      <c r="G76" s="8"/>
      <c r="H76" s="8"/>
      <c r="I76" s="8"/>
      <c r="J76" s="8"/>
      <c r="K76" s="8"/>
      <c r="L76" s="9" t="str">
        <f t="shared" si="2"/>
        <v/>
      </c>
    </row>
    <row r="77" spans="1:12" x14ac:dyDescent="0.25">
      <c r="A77" s="7"/>
      <c r="B77" s="7"/>
      <c r="C77" s="7"/>
      <c r="D77" s="7"/>
      <c r="E77" s="7"/>
      <c r="F77" s="7"/>
      <c r="G77" s="8"/>
      <c r="H77" s="8"/>
      <c r="I77" s="8"/>
      <c r="J77" s="8"/>
      <c r="K77" s="8"/>
      <c r="L77" s="9" t="str">
        <f t="shared" si="2"/>
        <v/>
      </c>
    </row>
    <row r="78" spans="1:12" x14ac:dyDescent="0.25">
      <c r="A78" s="7"/>
      <c r="B78" s="7"/>
      <c r="C78" s="7"/>
      <c r="D78" s="7"/>
      <c r="E78" s="7"/>
      <c r="F78" s="7"/>
      <c r="G78" s="8"/>
      <c r="H78" s="8"/>
      <c r="I78" s="8"/>
      <c r="J78" s="8"/>
      <c r="K78" s="8"/>
      <c r="L78" s="9" t="str">
        <f t="shared" si="2"/>
        <v/>
      </c>
    </row>
    <row r="79" spans="1:12" x14ac:dyDescent="0.25">
      <c r="A79" s="7"/>
      <c r="B79" s="7"/>
      <c r="C79" s="7"/>
      <c r="D79" s="7"/>
      <c r="E79" s="7"/>
      <c r="F79" s="7"/>
      <c r="G79" s="8"/>
      <c r="H79" s="8"/>
      <c r="I79" s="8"/>
      <c r="J79" s="8"/>
      <c r="K79" s="8"/>
      <c r="L79" s="9" t="str">
        <f t="shared" si="2"/>
        <v/>
      </c>
    </row>
    <row r="80" spans="1:12" x14ac:dyDescent="0.25">
      <c r="A80" s="7"/>
      <c r="B80" s="7"/>
      <c r="C80" s="7"/>
      <c r="D80" s="7"/>
      <c r="E80" s="7"/>
      <c r="F80" s="7"/>
      <c r="G80" s="8"/>
      <c r="H80" s="8"/>
      <c r="I80" s="8"/>
      <c r="J80" s="8"/>
      <c r="K80" s="8"/>
      <c r="L80" s="9" t="str">
        <f t="shared" si="2"/>
        <v/>
      </c>
    </row>
    <row r="81" spans="1:12" x14ac:dyDescent="0.25">
      <c r="A81" s="7"/>
      <c r="B81" s="7"/>
      <c r="C81" s="7"/>
      <c r="D81" s="7"/>
      <c r="E81" s="7"/>
      <c r="F81" s="7"/>
      <c r="G81" s="8"/>
      <c r="H81" s="8"/>
      <c r="I81" s="8"/>
      <c r="J81" s="8"/>
      <c r="K81" s="8"/>
      <c r="L81" s="9" t="str">
        <f t="shared" si="2"/>
        <v/>
      </c>
    </row>
    <row r="82" spans="1:12" x14ac:dyDescent="0.25">
      <c r="A82" s="7"/>
      <c r="B82" s="7"/>
      <c r="C82" s="7"/>
      <c r="D82" s="7"/>
      <c r="E82" s="7"/>
      <c r="F82" s="7"/>
      <c r="G82" s="8"/>
      <c r="H82" s="8"/>
      <c r="I82" s="8"/>
      <c r="J82" s="8"/>
      <c r="K82" s="8"/>
      <c r="L82" s="9" t="str">
        <f t="shared" si="2"/>
        <v/>
      </c>
    </row>
    <row r="83" spans="1:12" x14ac:dyDescent="0.25">
      <c r="A83" s="7"/>
      <c r="B83" s="7"/>
      <c r="C83" s="7"/>
      <c r="D83" s="7"/>
      <c r="E83" s="7"/>
      <c r="F83" s="7"/>
      <c r="G83" s="8"/>
      <c r="H83" s="8"/>
      <c r="I83" s="8"/>
      <c r="J83" s="8"/>
      <c r="K83" s="8"/>
      <c r="L83" s="9" t="str">
        <f t="shared" si="2"/>
        <v/>
      </c>
    </row>
    <row r="84" spans="1:12" x14ac:dyDescent="0.25">
      <c r="A84" s="7"/>
      <c r="B84" s="7"/>
      <c r="C84" s="7"/>
      <c r="D84" s="7"/>
      <c r="E84" s="7"/>
      <c r="F84" s="7"/>
      <c r="G84" s="8"/>
      <c r="H84" s="8"/>
      <c r="I84" s="8"/>
      <c r="J84" s="8"/>
      <c r="K84" s="8"/>
      <c r="L84" s="9" t="str">
        <f t="shared" si="2"/>
        <v/>
      </c>
    </row>
    <row r="85" spans="1:12" x14ac:dyDescent="0.25">
      <c r="A85" s="7"/>
      <c r="B85" s="7"/>
      <c r="C85" s="7"/>
      <c r="D85" s="7"/>
      <c r="E85" s="7"/>
      <c r="F85" s="7"/>
      <c r="G85" s="8"/>
      <c r="H85" s="8"/>
      <c r="I85" s="8"/>
      <c r="J85" s="8"/>
      <c r="K85" s="8"/>
      <c r="L85" s="9" t="str">
        <f t="shared" si="2"/>
        <v/>
      </c>
    </row>
    <row r="86" spans="1:12" x14ac:dyDescent="0.25">
      <c r="A86" s="7"/>
      <c r="B86" s="7"/>
      <c r="C86" s="7"/>
      <c r="D86" s="7"/>
      <c r="E86" s="7"/>
      <c r="F86" s="7"/>
      <c r="G86" s="8"/>
      <c r="H86" s="8"/>
      <c r="I86" s="8"/>
      <c r="J86" s="8"/>
      <c r="K86" s="8"/>
      <c r="L86" s="9" t="str">
        <f t="shared" si="2"/>
        <v/>
      </c>
    </row>
    <row r="87" spans="1:12" x14ac:dyDescent="0.25">
      <c r="A87" s="7"/>
      <c r="B87" s="7"/>
      <c r="C87" s="7"/>
      <c r="D87" s="7"/>
      <c r="E87" s="7"/>
      <c r="F87" s="7"/>
      <c r="G87" s="8"/>
      <c r="H87" s="8"/>
      <c r="I87" s="8"/>
      <c r="J87" s="8"/>
      <c r="K87" s="8"/>
      <c r="L87" s="9" t="str">
        <f t="shared" si="2"/>
        <v/>
      </c>
    </row>
    <row r="88" spans="1:12" x14ac:dyDescent="0.25">
      <c r="A88" s="7"/>
      <c r="B88" s="7"/>
      <c r="C88" s="7"/>
      <c r="D88" s="7"/>
      <c r="E88" s="7"/>
      <c r="F88" s="7"/>
      <c r="G88" s="8"/>
      <c r="H88" s="8"/>
      <c r="I88" s="8"/>
      <c r="J88" s="8"/>
      <c r="K88" s="8"/>
      <c r="L88" s="9" t="str">
        <f t="shared" si="2"/>
        <v/>
      </c>
    </row>
    <row r="89" spans="1:12" x14ac:dyDescent="0.25">
      <c r="A89" s="7"/>
      <c r="B89" s="7"/>
      <c r="C89" s="7"/>
      <c r="D89" s="7"/>
      <c r="E89" s="7"/>
      <c r="F89" s="7"/>
      <c r="G89" s="8"/>
      <c r="H89" s="8"/>
      <c r="I89" s="8"/>
      <c r="J89" s="8"/>
      <c r="K89" s="8"/>
      <c r="L89" s="9" t="str">
        <f t="shared" si="2"/>
        <v/>
      </c>
    </row>
    <row r="90" spans="1:12" x14ac:dyDescent="0.25">
      <c r="A90" s="7"/>
      <c r="B90" s="7"/>
      <c r="C90" s="7"/>
      <c r="D90" s="7"/>
      <c r="E90" s="7"/>
      <c r="F90" s="7"/>
      <c r="G90" s="8"/>
      <c r="H90" s="8"/>
      <c r="I90" s="8"/>
      <c r="J90" s="8"/>
      <c r="K90" s="8"/>
      <c r="L90" s="9" t="str">
        <f t="shared" si="2"/>
        <v/>
      </c>
    </row>
    <row r="91" spans="1:12" x14ac:dyDescent="0.25">
      <c r="A91" s="7"/>
      <c r="B91" s="7"/>
      <c r="C91" s="7"/>
      <c r="D91" s="7"/>
      <c r="E91" s="7"/>
      <c r="F91" s="7"/>
      <c r="G91" s="8"/>
      <c r="H91" s="8"/>
      <c r="I91" s="8"/>
      <c r="J91" s="8"/>
      <c r="K91" s="8"/>
      <c r="L91" s="9" t="str">
        <f t="shared" si="2"/>
        <v/>
      </c>
    </row>
    <row r="92" spans="1:12" x14ac:dyDescent="0.25">
      <c r="A92" s="7"/>
      <c r="B92" s="7"/>
      <c r="C92" s="7"/>
      <c r="D92" s="7"/>
      <c r="E92" s="7"/>
      <c r="F92" s="7"/>
      <c r="G92" s="8"/>
      <c r="H92" s="8"/>
      <c r="I92" s="8"/>
      <c r="J92" s="8"/>
      <c r="K92" s="8"/>
      <c r="L92" s="9" t="str">
        <f t="shared" si="2"/>
        <v/>
      </c>
    </row>
    <row r="93" spans="1:12" x14ac:dyDescent="0.25">
      <c r="A93" s="7"/>
      <c r="B93" s="7"/>
      <c r="C93" s="7"/>
      <c r="D93" s="7"/>
      <c r="E93" s="7"/>
      <c r="F93" s="7"/>
      <c r="G93" s="8"/>
      <c r="H93" s="8"/>
      <c r="I93" s="8"/>
      <c r="J93" s="8"/>
      <c r="K93" s="8"/>
      <c r="L93" s="9" t="str">
        <f t="shared" si="2"/>
        <v/>
      </c>
    </row>
    <row r="94" spans="1:12" x14ac:dyDescent="0.25">
      <c r="A94" s="7"/>
      <c r="B94" s="7"/>
      <c r="C94" s="7"/>
      <c r="D94" s="7"/>
      <c r="E94" s="7"/>
      <c r="F94" s="7"/>
      <c r="G94" s="8"/>
      <c r="H94" s="8"/>
      <c r="I94" s="8"/>
      <c r="J94" s="8"/>
      <c r="K94" s="8"/>
      <c r="L94" s="9" t="str">
        <f t="shared" si="2"/>
        <v/>
      </c>
    </row>
    <row r="95" spans="1:12" x14ac:dyDescent="0.25">
      <c r="A95" s="7"/>
      <c r="B95" s="7"/>
      <c r="C95" s="7"/>
      <c r="D95" s="7"/>
      <c r="E95" s="7"/>
      <c r="F95" s="7"/>
      <c r="G95" s="8"/>
      <c r="H95" s="8"/>
      <c r="I95" s="8"/>
      <c r="J95" s="8"/>
      <c r="K95" s="8"/>
      <c r="L95" s="9" t="str">
        <f t="shared" si="2"/>
        <v/>
      </c>
    </row>
    <row r="96" spans="1:12" x14ac:dyDescent="0.25">
      <c r="A96" s="7"/>
      <c r="B96" s="7"/>
      <c r="C96" s="7"/>
      <c r="D96" s="7"/>
      <c r="E96" s="7"/>
      <c r="F96" s="7"/>
      <c r="G96" s="8"/>
      <c r="H96" s="8"/>
      <c r="I96" s="8"/>
      <c r="J96" s="8"/>
      <c r="K96" s="8"/>
      <c r="L96" s="9" t="str">
        <f t="shared" si="2"/>
        <v/>
      </c>
    </row>
    <row r="97" spans="1:12" x14ac:dyDescent="0.25">
      <c r="A97" s="7"/>
      <c r="B97" s="7"/>
      <c r="C97" s="7"/>
      <c r="D97" s="7"/>
      <c r="E97" s="7"/>
      <c r="F97" s="7"/>
      <c r="G97" s="8"/>
      <c r="H97" s="8"/>
      <c r="I97" s="8"/>
      <c r="J97" s="8"/>
      <c r="K97" s="8"/>
      <c r="L97" s="9" t="str">
        <f t="shared" si="2"/>
        <v/>
      </c>
    </row>
    <row r="98" spans="1:12" x14ac:dyDescent="0.25">
      <c r="A98" s="7"/>
      <c r="B98" s="7"/>
      <c r="C98" s="7"/>
      <c r="D98" s="7"/>
      <c r="E98" s="7"/>
      <c r="F98" s="7"/>
      <c r="G98" s="8"/>
      <c r="H98" s="8"/>
      <c r="I98" s="8"/>
      <c r="J98" s="8"/>
      <c r="K98" s="8"/>
      <c r="L98" s="9" t="str">
        <f t="shared" ref="L98:L129" si="3">IF(B98="","",SUM(G98:K98))</f>
        <v/>
      </c>
    </row>
    <row r="99" spans="1:12" x14ac:dyDescent="0.25">
      <c r="A99" s="7"/>
      <c r="B99" s="7"/>
      <c r="C99" s="7"/>
      <c r="D99" s="7"/>
      <c r="E99" s="7"/>
      <c r="F99" s="7"/>
      <c r="G99" s="8"/>
      <c r="H99" s="8"/>
      <c r="I99" s="8"/>
      <c r="J99" s="8"/>
      <c r="K99" s="8"/>
      <c r="L99" s="9" t="str">
        <f t="shared" si="3"/>
        <v/>
      </c>
    </row>
    <row r="100" spans="1:12" x14ac:dyDescent="0.25">
      <c r="A100" s="7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9" t="str">
        <f t="shared" si="3"/>
        <v/>
      </c>
    </row>
    <row r="101" spans="1:12" x14ac:dyDescent="0.25">
      <c r="A101" s="7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9" t="str">
        <f t="shared" si="3"/>
        <v/>
      </c>
    </row>
    <row r="102" spans="1:12" x14ac:dyDescent="0.25">
      <c r="A102" s="7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9" t="str">
        <f t="shared" si="3"/>
        <v/>
      </c>
    </row>
    <row r="103" spans="1:12" x14ac:dyDescent="0.25">
      <c r="A103" s="7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9" t="str">
        <f t="shared" si="3"/>
        <v/>
      </c>
    </row>
    <row r="104" spans="1:12" x14ac:dyDescent="0.25">
      <c r="A104" s="7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9" t="str">
        <f t="shared" si="3"/>
        <v/>
      </c>
    </row>
    <row r="105" spans="1:12" x14ac:dyDescent="0.25">
      <c r="A105" s="7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9" t="str">
        <f t="shared" si="3"/>
        <v/>
      </c>
    </row>
    <row r="106" spans="1:12" x14ac:dyDescent="0.25">
      <c r="A106" s="7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9" t="str">
        <f t="shared" si="3"/>
        <v/>
      </c>
    </row>
    <row r="107" spans="1:12" x14ac:dyDescent="0.25">
      <c r="A107" s="7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9" t="str">
        <f t="shared" si="3"/>
        <v/>
      </c>
    </row>
    <row r="108" spans="1:12" x14ac:dyDescent="0.25">
      <c r="A108" s="7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9" t="str">
        <f t="shared" si="3"/>
        <v/>
      </c>
    </row>
    <row r="109" spans="1:12" x14ac:dyDescent="0.25">
      <c r="A109" s="7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9" t="str">
        <f t="shared" si="3"/>
        <v/>
      </c>
    </row>
    <row r="110" spans="1:12" x14ac:dyDescent="0.25">
      <c r="A110" s="7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9" t="str">
        <f t="shared" si="3"/>
        <v/>
      </c>
    </row>
    <row r="111" spans="1:12" x14ac:dyDescent="0.25">
      <c r="A111" s="7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9" t="str">
        <f t="shared" si="3"/>
        <v/>
      </c>
    </row>
    <row r="112" spans="1:12" x14ac:dyDescent="0.25">
      <c r="A112" s="7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9" t="str">
        <f t="shared" si="3"/>
        <v/>
      </c>
    </row>
    <row r="113" spans="1:12" x14ac:dyDescent="0.25">
      <c r="A113" s="7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9" t="str">
        <f t="shared" si="3"/>
        <v/>
      </c>
    </row>
    <row r="114" spans="1:12" x14ac:dyDescent="0.25">
      <c r="A114" s="7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9" t="str">
        <f t="shared" si="3"/>
        <v/>
      </c>
    </row>
    <row r="115" spans="1:12" x14ac:dyDescent="0.25">
      <c r="A115" s="7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9" t="str">
        <f t="shared" si="3"/>
        <v/>
      </c>
    </row>
    <row r="116" spans="1:12" x14ac:dyDescent="0.25">
      <c r="A116" s="7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9" t="str">
        <f t="shared" si="3"/>
        <v/>
      </c>
    </row>
    <row r="117" spans="1:12" x14ac:dyDescent="0.25">
      <c r="A117" s="7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9" t="str">
        <f t="shared" si="3"/>
        <v/>
      </c>
    </row>
    <row r="118" spans="1:12" x14ac:dyDescent="0.25">
      <c r="A118" s="7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9" t="str">
        <f t="shared" si="3"/>
        <v/>
      </c>
    </row>
    <row r="119" spans="1:12" x14ac:dyDescent="0.25">
      <c r="A119" s="7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9" t="str">
        <f t="shared" si="3"/>
        <v/>
      </c>
    </row>
    <row r="120" spans="1:12" x14ac:dyDescent="0.25">
      <c r="A120" s="7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9" t="str">
        <f t="shared" si="3"/>
        <v/>
      </c>
    </row>
    <row r="121" spans="1:12" x14ac:dyDescent="0.25">
      <c r="A121" s="7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9" t="str">
        <f t="shared" si="3"/>
        <v/>
      </c>
    </row>
    <row r="122" spans="1:12" x14ac:dyDescent="0.25">
      <c r="A122" s="7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9" t="str">
        <f t="shared" si="3"/>
        <v/>
      </c>
    </row>
    <row r="123" spans="1:12" x14ac:dyDescent="0.25">
      <c r="A123" s="7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9" t="str">
        <f t="shared" si="3"/>
        <v/>
      </c>
    </row>
    <row r="124" spans="1:12" x14ac:dyDescent="0.25">
      <c r="A124" s="7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9" t="str">
        <f t="shared" si="3"/>
        <v/>
      </c>
    </row>
    <row r="125" spans="1:12" x14ac:dyDescent="0.25">
      <c r="A125" s="7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9" t="str">
        <f t="shared" si="3"/>
        <v/>
      </c>
    </row>
    <row r="126" spans="1:12" x14ac:dyDescent="0.25">
      <c r="A126" s="7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9" t="str">
        <f t="shared" si="3"/>
        <v/>
      </c>
    </row>
    <row r="127" spans="1:12" x14ac:dyDescent="0.25">
      <c r="A127" s="7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9" t="str">
        <f t="shared" si="3"/>
        <v/>
      </c>
    </row>
    <row r="128" spans="1:12" x14ac:dyDescent="0.25">
      <c r="A128" s="7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9" t="str">
        <f t="shared" si="3"/>
        <v/>
      </c>
    </row>
    <row r="129" spans="1:12" x14ac:dyDescent="0.25">
      <c r="A129" s="7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9" t="str">
        <f t="shared" si="3"/>
        <v/>
      </c>
    </row>
    <row r="130" spans="1:12" x14ac:dyDescent="0.25">
      <c r="A130" s="7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9" t="str">
        <f t="shared" ref="L130:L161" si="4">IF(B130="","",SUM(G130:K130))</f>
        <v/>
      </c>
    </row>
    <row r="131" spans="1:12" x14ac:dyDescent="0.25">
      <c r="A131" s="7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9" t="str">
        <f t="shared" si="4"/>
        <v/>
      </c>
    </row>
    <row r="132" spans="1:12" x14ac:dyDescent="0.25">
      <c r="A132" s="7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9" t="str">
        <f t="shared" si="4"/>
        <v/>
      </c>
    </row>
    <row r="133" spans="1:12" x14ac:dyDescent="0.25">
      <c r="A133" s="7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9" t="str">
        <f t="shared" si="4"/>
        <v/>
      </c>
    </row>
    <row r="134" spans="1:12" x14ac:dyDescent="0.25">
      <c r="A134" s="7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9" t="str">
        <f t="shared" si="4"/>
        <v/>
      </c>
    </row>
    <row r="135" spans="1:12" x14ac:dyDescent="0.25">
      <c r="A135" s="7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9" t="str">
        <f t="shared" si="4"/>
        <v/>
      </c>
    </row>
    <row r="136" spans="1:12" x14ac:dyDescent="0.25">
      <c r="A136" s="7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9" t="str">
        <f t="shared" si="4"/>
        <v/>
      </c>
    </row>
    <row r="137" spans="1:12" x14ac:dyDescent="0.25">
      <c r="A137" s="7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9" t="str">
        <f t="shared" si="4"/>
        <v/>
      </c>
    </row>
    <row r="138" spans="1:12" x14ac:dyDescent="0.25">
      <c r="A138" s="7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9" t="str">
        <f t="shared" si="4"/>
        <v/>
      </c>
    </row>
    <row r="139" spans="1:12" x14ac:dyDescent="0.25">
      <c r="A139" s="7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9" t="str">
        <f t="shared" si="4"/>
        <v/>
      </c>
    </row>
    <row r="140" spans="1:12" x14ac:dyDescent="0.25">
      <c r="A140" s="7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9" t="str">
        <f t="shared" si="4"/>
        <v/>
      </c>
    </row>
    <row r="141" spans="1:12" x14ac:dyDescent="0.25">
      <c r="A141" s="7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9" t="str">
        <f t="shared" si="4"/>
        <v/>
      </c>
    </row>
    <row r="142" spans="1:12" x14ac:dyDescent="0.25">
      <c r="A142" s="7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9" t="str">
        <f t="shared" si="4"/>
        <v/>
      </c>
    </row>
    <row r="143" spans="1:12" x14ac:dyDescent="0.25">
      <c r="A143" s="7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9" t="str">
        <f t="shared" si="4"/>
        <v/>
      </c>
    </row>
    <row r="144" spans="1:12" x14ac:dyDescent="0.25">
      <c r="A144" s="7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9" t="str">
        <f t="shared" si="4"/>
        <v/>
      </c>
    </row>
    <row r="145" spans="1:12" x14ac:dyDescent="0.25">
      <c r="A145" s="7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9" t="str">
        <f t="shared" si="4"/>
        <v/>
      </c>
    </row>
    <row r="146" spans="1:12" x14ac:dyDescent="0.25">
      <c r="A146" s="7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9" t="str">
        <f t="shared" si="4"/>
        <v/>
      </c>
    </row>
    <row r="147" spans="1:12" x14ac:dyDescent="0.25">
      <c r="A147" s="7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9" t="str">
        <f t="shared" si="4"/>
        <v/>
      </c>
    </row>
    <row r="148" spans="1:12" x14ac:dyDescent="0.25">
      <c r="A148" s="7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9" t="str">
        <f t="shared" si="4"/>
        <v/>
      </c>
    </row>
    <row r="149" spans="1:12" x14ac:dyDescent="0.25">
      <c r="A149" s="7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9" t="str">
        <f t="shared" si="4"/>
        <v/>
      </c>
    </row>
    <row r="150" spans="1:12" x14ac:dyDescent="0.25">
      <c r="A150" s="7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9" t="str">
        <f t="shared" si="4"/>
        <v/>
      </c>
    </row>
    <row r="151" spans="1:12" x14ac:dyDescent="0.25">
      <c r="A151" s="7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9" t="str">
        <f t="shared" si="4"/>
        <v/>
      </c>
    </row>
    <row r="152" spans="1:12" x14ac:dyDescent="0.25">
      <c r="A152" s="7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9" t="str">
        <f t="shared" si="4"/>
        <v/>
      </c>
    </row>
    <row r="153" spans="1:12" x14ac:dyDescent="0.25">
      <c r="A153" s="7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9" t="str">
        <f t="shared" si="4"/>
        <v/>
      </c>
    </row>
    <row r="154" spans="1:12" x14ac:dyDescent="0.25">
      <c r="A154" s="7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9" t="str">
        <f t="shared" si="4"/>
        <v/>
      </c>
    </row>
    <row r="155" spans="1:12" x14ac:dyDescent="0.25">
      <c r="A155" s="7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9" t="str">
        <f t="shared" si="4"/>
        <v/>
      </c>
    </row>
    <row r="156" spans="1:12" x14ac:dyDescent="0.25">
      <c r="A156" s="7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9" t="str">
        <f t="shared" si="4"/>
        <v/>
      </c>
    </row>
    <row r="157" spans="1:12" x14ac:dyDescent="0.25">
      <c r="A157" s="7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9" t="str">
        <f t="shared" si="4"/>
        <v/>
      </c>
    </row>
    <row r="158" spans="1:12" x14ac:dyDescent="0.25">
      <c r="A158" s="7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9" t="str">
        <f t="shared" si="4"/>
        <v/>
      </c>
    </row>
    <row r="159" spans="1:12" x14ac:dyDescent="0.25">
      <c r="A159" s="7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9" t="str">
        <f t="shared" si="4"/>
        <v/>
      </c>
    </row>
    <row r="160" spans="1:12" x14ac:dyDescent="0.25">
      <c r="A160" s="7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9" t="str">
        <f t="shared" si="4"/>
        <v/>
      </c>
    </row>
    <row r="161" spans="1:12" x14ac:dyDescent="0.25">
      <c r="A161" s="7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9" t="str">
        <f t="shared" si="4"/>
        <v/>
      </c>
    </row>
    <row r="162" spans="1:12" x14ac:dyDescent="0.25">
      <c r="A162" s="7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9" t="str">
        <f t="shared" ref="L162:L193" si="5">IF(B162="","",SUM(G162:K162))</f>
        <v/>
      </c>
    </row>
    <row r="163" spans="1:12" x14ac:dyDescent="0.25">
      <c r="A163" s="7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9" t="str">
        <f t="shared" si="5"/>
        <v/>
      </c>
    </row>
    <row r="164" spans="1:12" x14ac:dyDescent="0.25">
      <c r="A164" s="7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9" t="str">
        <f t="shared" si="5"/>
        <v/>
      </c>
    </row>
    <row r="165" spans="1:12" x14ac:dyDescent="0.25">
      <c r="A165" s="7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9" t="str">
        <f t="shared" si="5"/>
        <v/>
      </c>
    </row>
    <row r="166" spans="1:12" x14ac:dyDescent="0.25">
      <c r="A166" s="7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9" t="str">
        <f t="shared" si="5"/>
        <v/>
      </c>
    </row>
    <row r="167" spans="1:12" x14ac:dyDescent="0.25">
      <c r="A167" s="7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9" t="str">
        <f t="shared" si="5"/>
        <v/>
      </c>
    </row>
    <row r="168" spans="1:12" x14ac:dyDescent="0.25">
      <c r="A168" s="7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9" t="str">
        <f t="shared" si="5"/>
        <v/>
      </c>
    </row>
    <row r="169" spans="1:12" x14ac:dyDescent="0.25">
      <c r="A169" s="7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9" t="str">
        <f t="shared" si="5"/>
        <v/>
      </c>
    </row>
    <row r="170" spans="1:12" x14ac:dyDescent="0.25">
      <c r="A170" s="7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9" t="str">
        <f t="shared" si="5"/>
        <v/>
      </c>
    </row>
    <row r="171" spans="1:12" x14ac:dyDescent="0.25">
      <c r="A171" s="7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9" t="str">
        <f t="shared" si="5"/>
        <v/>
      </c>
    </row>
    <row r="172" spans="1:12" x14ac:dyDescent="0.25">
      <c r="A172" s="7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9" t="str">
        <f t="shared" si="5"/>
        <v/>
      </c>
    </row>
    <row r="173" spans="1:12" x14ac:dyDescent="0.25">
      <c r="A173" s="7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9" t="str">
        <f t="shared" si="5"/>
        <v/>
      </c>
    </row>
    <row r="174" spans="1:12" x14ac:dyDescent="0.25">
      <c r="A174" s="7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9" t="str">
        <f t="shared" si="5"/>
        <v/>
      </c>
    </row>
    <row r="175" spans="1:12" x14ac:dyDescent="0.25">
      <c r="A175" s="7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9" t="str">
        <f t="shared" si="5"/>
        <v/>
      </c>
    </row>
    <row r="176" spans="1:12" x14ac:dyDescent="0.25">
      <c r="A176" s="7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9" t="str">
        <f t="shared" si="5"/>
        <v/>
      </c>
    </row>
    <row r="177" spans="1:12" x14ac:dyDescent="0.25">
      <c r="A177" s="7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9" t="str">
        <f t="shared" si="5"/>
        <v/>
      </c>
    </row>
    <row r="178" spans="1:12" x14ac:dyDescent="0.25">
      <c r="A178" s="7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9" t="str">
        <f t="shared" si="5"/>
        <v/>
      </c>
    </row>
    <row r="179" spans="1:12" x14ac:dyDescent="0.25">
      <c r="A179" s="7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9" t="str">
        <f t="shared" si="5"/>
        <v/>
      </c>
    </row>
    <row r="180" spans="1:12" x14ac:dyDescent="0.25">
      <c r="A180" s="7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9" t="str">
        <f t="shared" si="5"/>
        <v/>
      </c>
    </row>
    <row r="181" spans="1:12" x14ac:dyDescent="0.25">
      <c r="A181" s="7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9" t="str">
        <f t="shared" si="5"/>
        <v/>
      </c>
    </row>
    <row r="182" spans="1:12" x14ac:dyDescent="0.25">
      <c r="A182" s="7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9" t="str">
        <f t="shared" si="5"/>
        <v/>
      </c>
    </row>
    <row r="183" spans="1:12" x14ac:dyDescent="0.25">
      <c r="A183" s="7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9" t="str">
        <f t="shared" si="5"/>
        <v/>
      </c>
    </row>
    <row r="184" spans="1:12" x14ac:dyDescent="0.25">
      <c r="A184" s="7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9" t="str">
        <f t="shared" si="5"/>
        <v/>
      </c>
    </row>
    <row r="185" spans="1:12" x14ac:dyDescent="0.25">
      <c r="A185" s="7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9" t="str">
        <f t="shared" si="5"/>
        <v/>
      </c>
    </row>
    <row r="186" spans="1:12" x14ac:dyDescent="0.25">
      <c r="A186" s="7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9" t="str">
        <f t="shared" si="5"/>
        <v/>
      </c>
    </row>
    <row r="187" spans="1:12" x14ac:dyDescent="0.25">
      <c r="A187" s="7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9" t="str">
        <f t="shared" si="5"/>
        <v/>
      </c>
    </row>
    <row r="188" spans="1:12" x14ac:dyDescent="0.25">
      <c r="A188" s="7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9" t="str">
        <f t="shared" si="5"/>
        <v/>
      </c>
    </row>
    <row r="189" spans="1:12" x14ac:dyDescent="0.25">
      <c r="A189" s="7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9" t="str">
        <f t="shared" si="5"/>
        <v/>
      </c>
    </row>
    <row r="190" spans="1:12" x14ac:dyDescent="0.25">
      <c r="A190" s="7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9" t="str">
        <f t="shared" si="5"/>
        <v/>
      </c>
    </row>
    <row r="191" spans="1:12" x14ac:dyDescent="0.25">
      <c r="A191" s="7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9" t="str">
        <f t="shared" si="5"/>
        <v/>
      </c>
    </row>
    <row r="192" spans="1:12" x14ac:dyDescent="0.25">
      <c r="A192" s="7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9" t="str">
        <f t="shared" si="5"/>
        <v/>
      </c>
    </row>
    <row r="193" spans="1:12" x14ac:dyDescent="0.25">
      <c r="A193" s="7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9" t="str">
        <f t="shared" si="5"/>
        <v/>
      </c>
    </row>
    <row r="194" spans="1:12" x14ac:dyDescent="0.25">
      <c r="A194" s="7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9" t="str">
        <f t="shared" ref="L194:L201" si="6">IF(B194="","",SUM(G194:K194))</f>
        <v/>
      </c>
    </row>
    <row r="195" spans="1:12" x14ac:dyDescent="0.25">
      <c r="A195" s="7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9" t="str">
        <f t="shared" si="6"/>
        <v/>
      </c>
    </row>
    <row r="196" spans="1:12" x14ac:dyDescent="0.25">
      <c r="A196" s="7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9" t="str">
        <f t="shared" si="6"/>
        <v/>
      </c>
    </row>
    <row r="197" spans="1:12" x14ac:dyDescent="0.25">
      <c r="A197" s="7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9" t="str">
        <f t="shared" si="6"/>
        <v/>
      </c>
    </row>
    <row r="198" spans="1:12" x14ac:dyDescent="0.25">
      <c r="A198" s="7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9" t="str">
        <f t="shared" si="6"/>
        <v/>
      </c>
    </row>
    <row r="199" spans="1:12" x14ac:dyDescent="0.25">
      <c r="A199" s="7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9" t="str">
        <f t="shared" si="6"/>
        <v/>
      </c>
    </row>
    <row r="200" spans="1:12" x14ac:dyDescent="0.25">
      <c r="A200" s="7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9" t="str">
        <f t="shared" si="6"/>
        <v/>
      </c>
    </row>
    <row r="201" spans="1:12" x14ac:dyDescent="0.25">
      <c r="A201" s="7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9" t="str">
        <f t="shared" si="6"/>
        <v/>
      </c>
    </row>
  </sheetData>
  <dataValidations count="3">
    <dataValidation type="list" allowBlank="1" showErrorMessage="1" errorTitle="Cargo" error="Elegí un cargo de la lista." sqref="A3:A201">
      <formula1>"Presidente,Presidenta,Vicepresidente,Vicepresidenta,Gobernador,Gobernadora,Vicegobernador,Vicegobernadora,Senador,Senadora,Diputado,Diputada,Jefe de Gabinete,J. de Gabinete,Ministro,Ministra,Legislador,Legisladora,Asesor,Asesora"</formula1>
    </dataValidation>
    <dataValidation type="whole" allowBlank="1" showErrorMessage="1" errorTitle="Atributo" error="Debe ser un número entero de 3 a 10." sqref="G2:K201">
      <formula1>3</formula1>
      <formula2>10</formula2>
    </dataValidation>
    <dataValidation type="list" allowBlank="1" showErrorMessage="1" errorTitle="Cargo" error="Elegí un cargo de la lista." sqref="A2">
      <formula1>"Presidente,Presidenta,Vicepresidente,Vicepresidenta,Gobernador,Gobernadora,Vicegobernador,Vicegobernadora,Senador,Senadora,Diputado,Diputada,Jefe de Gabinete,J. de Gabinete,Ministro,Ministra,Legislador,Legisladora,Asesor,Asesora"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Afiliación" error="Elegí una afiliación de la hoja Colores.">
          <x14:formula1>
            <xm:f>Colores!$A$2:$A$13</xm:f>
          </x14:formula1>
          <x14:formula2>
            <xm:f>0</xm:f>
          </x14:formula2>
          <xm:sqref>C2:E201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7109375" defaultRowHeight="15" x14ac:dyDescent="0.25"/>
  <cols>
    <col min="1" max="1" width="20" customWidth="1"/>
    <col min="2" max="2" width="14" customWidth="1"/>
  </cols>
  <sheetData>
    <row r="1" spans="1:4" ht="30" customHeight="1" x14ac:dyDescent="0.25">
      <c r="A1" s="6" t="s">
        <v>53</v>
      </c>
      <c r="B1" s="6" t="s">
        <v>54</v>
      </c>
      <c r="D1" s="10" t="s">
        <v>55</v>
      </c>
    </row>
    <row r="2" spans="1:4" x14ac:dyDescent="0.25">
      <c r="A2" s="11" t="s">
        <v>82</v>
      </c>
      <c r="B2" s="7" t="s">
        <v>56</v>
      </c>
    </row>
    <row r="3" spans="1:4" x14ac:dyDescent="0.25">
      <c r="A3" s="12" t="s">
        <v>57</v>
      </c>
      <c r="B3" s="7" t="s">
        <v>58</v>
      </c>
    </row>
    <row r="4" spans="1:4" x14ac:dyDescent="0.25">
      <c r="A4" s="13" t="s">
        <v>59</v>
      </c>
      <c r="B4" s="7" t="s">
        <v>60</v>
      </c>
    </row>
    <row r="5" spans="1:4" x14ac:dyDescent="0.25">
      <c r="A5" s="14" t="s">
        <v>52</v>
      </c>
      <c r="B5" s="7" t="s">
        <v>61</v>
      </c>
    </row>
    <row r="6" spans="1:4" x14ac:dyDescent="0.25">
      <c r="A6" s="15" t="s">
        <v>62</v>
      </c>
      <c r="B6" s="7" t="s">
        <v>63</v>
      </c>
    </row>
    <row r="7" spans="1:4" x14ac:dyDescent="0.25">
      <c r="A7" s="16" t="s">
        <v>51</v>
      </c>
      <c r="B7" s="7" t="s">
        <v>64</v>
      </c>
    </row>
    <row r="8" spans="1:4" x14ac:dyDescent="0.25">
      <c r="A8" s="7"/>
      <c r="B8" s="7"/>
    </row>
    <row r="9" spans="1:4" x14ac:dyDescent="0.25">
      <c r="A9" s="7"/>
      <c r="B9" s="7"/>
    </row>
    <row r="10" spans="1:4" x14ac:dyDescent="0.25">
      <c r="A10" s="7"/>
      <c r="B10" s="7"/>
    </row>
    <row r="11" spans="1:4" x14ac:dyDescent="0.25">
      <c r="A11" s="7"/>
      <c r="B11" s="7"/>
    </row>
    <row r="12" spans="1:4" x14ac:dyDescent="0.25">
      <c r="A12" s="7"/>
      <c r="B12" s="7"/>
    </row>
    <row r="13" spans="1:4" x14ac:dyDescent="0.25">
      <c r="A13" s="7"/>
      <c r="B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1" customWidth="1"/>
    <col min="4" max="5" width="34" customWidth="1"/>
  </cols>
  <sheetData>
    <row r="1" spans="1:5" ht="30" customHeight="1" x14ac:dyDescent="0.25">
      <c r="A1" s="6" t="s">
        <v>65</v>
      </c>
      <c r="B1" s="6" t="s">
        <v>66</v>
      </c>
      <c r="D1" s="4" t="s">
        <v>67</v>
      </c>
      <c r="E1" s="17"/>
    </row>
    <row r="2" spans="1:5" x14ac:dyDescent="0.25">
      <c r="A2" s="5" t="s">
        <v>68</v>
      </c>
      <c r="B2" s="8">
        <v>8</v>
      </c>
      <c r="D2" s="5" t="s">
        <v>69</v>
      </c>
      <c r="E2" s="18">
        <f>SUM(B2:B9)</f>
        <v>64</v>
      </c>
    </row>
    <row r="3" spans="1:5" x14ac:dyDescent="0.25">
      <c r="A3" s="5" t="s">
        <v>70</v>
      </c>
      <c r="B3" s="8">
        <v>8</v>
      </c>
      <c r="D3" s="5" t="s">
        <v>71</v>
      </c>
      <c r="E3" s="18">
        <f>COUNTA(Cartas!B2:B201)</f>
        <v>30</v>
      </c>
    </row>
    <row r="4" spans="1:5" x14ac:dyDescent="0.25">
      <c r="A4" s="5" t="s">
        <v>72</v>
      </c>
      <c r="B4" s="8">
        <v>8</v>
      </c>
      <c r="D4" s="5" t="s">
        <v>73</v>
      </c>
      <c r="E4" s="18">
        <f>MAX(0,(E3-8)/2)</f>
        <v>11</v>
      </c>
    </row>
    <row r="5" spans="1:5" x14ac:dyDescent="0.25">
      <c r="A5" s="5" t="s">
        <v>74</v>
      </c>
      <c r="B5" s="8">
        <v>8</v>
      </c>
      <c r="D5" s="5" t="s">
        <v>75</v>
      </c>
      <c r="E5" s="18" t="str">
        <f>IF(MOD(E3,2)&lt;&gt;0,"Error: la cantidad de políticos debe ser par",IF(E3&lt;8,"Error: hacen falta al menos 8 políticos",IF(E2&lt;E4,"Error: faltan "&amp;(E4-E2)&amp;" tarjetas de eventos","OK")))</f>
        <v>OK</v>
      </c>
    </row>
    <row r="6" spans="1:5" x14ac:dyDescent="0.25">
      <c r="A6" s="5" t="s">
        <v>76</v>
      </c>
      <c r="B6" s="8">
        <v>8</v>
      </c>
    </row>
    <row r="7" spans="1:5" x14ac:dyDescent="0.25">
      <c r="A7" s="5" t="s">
        <v>77</v>
      </c>
      <c r="B7" s="8">
        <v>8</v>
      </c>
      <c r="D7" s="19" t="s">
        <v>78</v>
      </c>
    </row>
    <row r="8" spans="1:5" x14ac:dyDescent="0.25">
      <c r="A8" s="5" t="s">
        <v>79</v>
      </c>
      <c r="B8" s="8">
        <v>8</v>
      </c>
    </row>
    <row r="9" spans="1:5" x14ac:dyDescent="0.25">
      <c r="A9" s="5" t="s">
        <v>80</v>
      </c>
      <c r="B9" s="8">
        <v>8</v>
      </c>
    </row>
  </sheetData>
  <dataValidations count="1">
    <dataValidation type="whole" operator="greaterThanOrEqual" showErrorMessage="1" error="Número entero, 0 o más." sqref="B2:B9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Cartas</vt:lpstr>
      <vt:lpstr>Colores</vt:lpstr>
      <vt:lpstr>Eventos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Ignacio</cp:lastModifiedBy>
  <cp:revision>0</cp:revision>
  <dcterms:created xsi:type="dcterms:W3CDTF">2026-10-19T04:25:28Z</dcterms:created>
  <dcterms:modified xsi:type="dcterms:W3CDTF">2026-10-20T21:38:45Z</dcterms:modified>
  <dc:language>en-US</dc:language>
</cp:coreProperties>
</file>